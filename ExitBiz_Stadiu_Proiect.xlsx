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7560" tabRatio="600" firstSheet="0" activeTab="0" autoFilterDateGrouping="1"/>
  </bookViews>
  <sheets>
    <sheet name="00_Stadiu_Proiect" sheetId="1" state="visible" r:id="rId1"/>
    <sheet name="01_Roadmap_WS" sheetId="2" state="visible" r:id="rId2"/>
    <sheet name="02_P0_Critical_Path" sheetId="3" state="visible" r:id="rId3"/>
    <sheet name="03_Buget_Servicii" sheetId="4" state="visible" r:id="rId4"/>
    <sheet name="04_Riscuri" sheetId="5" state="visible" r:id="rId5"/>
  </sheets>
  <definedNames>
    <definedName name="_xlnm._FilterDatabase" localSheetId="0" hidden="1">'00_Stadiu_Proiect'!$A$6:$L$131</definedName>
    <definedName name="_xlnm._FilterDatabase" localSheetId="2" hidden="1">'02_P0_Critical_Path'!$A$2:$H$32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family val="2"/>
      <b val="1"/>
      <color rgb="FFFFFFFF"/>
      <sz val="16"/>
    </font>
    <font>
      <name val="Arial"/>
      <family val="2"/>
      <i val="1"/>
      <color rgb="FF595959"/>
      <sz val="10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13"/>
    </font>
    <font>
      <name val="Arial"/>
      <family val="2"/>
      <b val="1"/>
      <color rgb="FF595959"/>
      <sz val="9"/>
    </font>
    <font>
      <name val="Arial"/>
      <family val="2"/>
      <b val="1"/>
      <color rgb="FF1F4E79"/>
      <sz val="13"/>
    </font>
    <font>
      <name val="Arial"/>
      <family val="2"/>
      <b val="1"/>
      <color rgb="FFFFFFFF"/>
      <sz val="10"/>
    </font>
    <font>
      <name val="Arial"/>
      <family val="2"/>
      <b val="1"/>
      <color rgb="FF1F4E79"/>
      <sz val="9"/>
    </font>
    <font>
      <name val="Arial"/>
      <family val="2"/>
      <sz val="9"/>
    </font>
    <font>
      <name val="Arial"/>
      <family val="2"/>
      <b val="1"/>
      <color rgb="FFC00000"/>
      <sz val="9"/>
    </font>
    <font>
      <name val="Arial"/>
      <family val="2"/>
      <b val="1"/>
      <color rgb="FFFFFFFF"/>
      <sz val="14"/>
    </font>
    <font>
      <name val="Arial"/>
      <family val="2"/>
      <sz val="10"/>
    </font>
    <font>
      <name val="Arial"/>
      <family val="2"/>
      <b val="1"/>
      <color rgb="FFC00000"/>
      <sz val="10"/>
    </font>
    <font>
      <name val="Arial"/>
      <family val="2"/>
      <b val="1"/>
      <color rgb="FF1F4E79"/>
      <sz val="10"/>
    </font>
    <font>
      <name val="Arial"/>
      <family val="2"/>
      <b val="1"/>
      <color rgb="FF595959"/>
      <sz val="10"/>
    </font>
    <font>
      <name val="Arial"/>
      <family val="2"/>
      <b val="1"/>
      <color rgb="FFFFFFFF"/>
      <sz val="11"/>
    </font>
    <font>
      <name val="Arial"/>
      <family val="2"/>
      <b val="1"/>
      <color rgb="FF7030A0"/>
      <sz val="10"/>
    </font>
  </fonts>
  <fills count="17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FC7CE"/>
      </patternFill>
    </fill>
    <fill>
      <patternFill patternType="solid">
        <fgColor rgb="FFFCE4D6"/>
      </patternFill>
    </fill>
    <fill>
      <patternFill patternType="solid">
        <fgColor rgb="FFF2F7FB"/>
      </patternFill>
    </fill>
    <fill>
      <patternFill patternType="solid">
        <fgColor rgb="FFFFFFFF"/>
      </patternFill>
    </fill>
    <fill>
      <patternFill patternType="solid">
        <fgColor rgb="FFC00000"/>
      </patternFill>
    </fill>
    <fill>
      <patternFill patternType="solid">
        <fgColor rgb="FFFFF2F2"/>
      </patternFill>
    </fill>
    <fill>
      <patternFill patternType="solid">
        <fgColor rgb="FF7030A0"/>
      </patternFill>
    </fill>
    <fill>
      <patternFill patternType="solid">
        <fgColor rgb="FFEAD1F8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BDD5EA"/>
      </left>
      <right style="thin">
        <color rgb="FFBDD5EA"/>
      </right>
      <top style="thin">
        <color rgb="FFBDD5EA"/>
      </top>
      <bottom style="thin">
        <color rgb="FFBDD5EA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left" vertical="center"/>
    </xf>
    <xf numFmtId="0" fontId="9" fillId="11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left" vertical="center"/>
    </xf>
    <xf numFmtId="0" fontId="12" fillId="11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center" vertical="center"/>
    </xf>
    <xf numFmtId="0" fontId="7" fillId="12" borderId="0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left" vertical="center" wrapText="1"/>
    </xf>
    <xf numFmtId="0" fontId="12" fillId="13" borderId="1" applyAlignment="1" pivotButton="0" quotePrefix="0" xfId="0">
      <alignment horizontal="left" vertical="center"/>
    </xf>
    <xf numFmtId="0" fontId="14" fillId="10" borderId="1" applyAlignment="1" pivotButton="0" quotePrefix="0" xfId="0">
      <alignment horizontal="center" vertical="center"/>
    </xf>
    <xf numFmtId="3" fontId="12" fillId="6" borderId="1" applyAlignment="1" pivotButton="0" quotePrefix="0" xfId="0">
      <alignment horizontal="center" vertical="center"/>
    </xf>
    <xf numFmtId="3" fontId="12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3" fontId="16" fillId="2" borderId="1" applyAlignment="1" pivotButton="0" quotePrefix="0" xfId="0">
      <alignment horizontal="center" vertical="center"/>
    </xf>
    <xf numFmtId="0" fontId="0" fillId="2" borderId="0" pivotButton="0" quotePrefix="0" xfId="0"/>
    <xf numFmtId="0" fontId="7" fillId="14" borderId="0" applyAlignment="1" pivotButton="0" quotePrefix="0" xfId="0">
      <alignment horizontal="center" vertical="center"/>
    </xf>
    <xf numFmtId="0" fontId="17" fillId="15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1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4" fillId="1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4" fillId="14" borderId="0" applyAlignment="1" pivotButton="0" quotePrefix="0" xfId="0">
      <alignment horizontal="center" vertical="center"/>
    </xf>
  </cellXfs>
  <cellStyles count="1">
    <cellStyle name="Normal" xfId="0" builtinId="0"/>
  </cellStyles>
  <dxfs count="14"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showGridLines="0" tabSelected="1" workbookViewId="0">
      <pane ySplit="5" topLeftCell="A36" activePane="bottomLeft" state="frozen"/>
      <selection pane="bottomLeft" activeCell="G47" sqref="G47"/>
    </sheetView>
  </sheetViews>
  <sheetFormatPr baseColWidth="10" defaultColWidth="8.83203125" defaultRowHeight="15"/>
  <cols>
    <col width="10" customWidth="1" style="50" min="1" max="1"/>
    <col width="7" customWidth="1" style="50" min="2" max="2"/>
    <col width="28" customWidth="1" style="50" min="3" max="3"/>
    <col width="42" customWidth="1" style="50" min="4" max="4"/>
    <col width="24" customWidth="1" style="50" min="5" max="5"/>
    <col width="10" customWidth="1" style="50" min="6" max="6"/>
    <col width="14" customWidth="1" style="50" min="7" max="7"/>
    <col width="12" customWidth="1" style="50" min="8" max="8"/>
    <col width="9" customWidth="1" style="50" min="9" max="9"/>
    <col width="10" customWidth="1" style="50" min="10" max="10"/>
    <col width="32" customWidth="1" style="50" min="11" max="11"/>
    <col width="28" customWidth="1" style="50" min="12" max="12"/>
  </cols>
  <sheetData>
    <row r="1" ht="36" customHeight="1" s="50">
      <c r="A1" s="51" t="inlineStr">
        <is>
          <t>1ExitBiz.RO — Stadiu Proiect &amp; Tracking MVP</t>
        </is>
      </c>
    </row>
    <row r="2" ht="20" customHeight="1" s="50">
      <c r="A2" s="49" t="inlineStr">
        <is>
          <t>Actualizat: 10.06.2026  |  Coordonator: Stelian / Matelyn Exim SRL  |  Implementator: Mihai</t>
        </is>
      </c>
    </row>
    <row r="3" ht="18" customHeight="1" s="50">
      <c r="A3" s="1" t="inlineStr">
        <is>
          <t>Total actiuni</t>
        </is>
      </c>
      <c r="B3" s="2" t="inlineStr">
        <is>
          <t>Neinceput</t>
        </is>
      </c>
      <c r="C3" s="2" t="inlineStr">
        <is>
          <t>In lucru</t>
        </is>
      </c>
      <c r="D3" s="2" t="inlineStr">
        <is>
          <t>Finalizat</t>
        </is>
      </c>
      <c r="E3" s="2" t="inlineStr">
        <is>
          <t>Blocat</t>
        </is>
      </c>
      <c r="F3" s="2" t="inlineStr">
        <is>
          <t>P0 total</t>
        </is>
      </c>
      <c r="G3" s="2" t="inlineStr">
        <is>
          <t>P1 total</t>
        </is>
      </c>
      <c r="H3" s="2" t="inlineStr">
        <is>
          <t>P2 total</t>
        </is>
      </c>
      <c r="I3" s="2" t="inlineStr">
        <is>
          <t>Workstream-uri</t>
        </is>
      </c>
      <c r="J3" s="2" t="inlineStr">
        <is>
          <t>Saptamani plan</t>
        </is>
      </c>
      <c r="K3" s="2" t="inlineStr">
        <is>
          <t>Buget setup min RON</t>
        </is>
      </c>
      <c r="L3" s="2" t="inlineStr">
        <is>
          <t>Buget setup max RON</t>
        </is>
      </c>
    </row>
    <row r="4" ht="28" customHeight="1" s="50">
      <c r="A4" s="3">
        <f>COUNTA(G7:G131)</f>
        <v/>
      </c>
      <c r="B4" s="4">
        <f>COUNTIF(G7:G131,"Neinceput")</f>
        <v/>
      </c>
      <c r="C4" s="5">
        <f>COUNTIF(G7:G131,"In lucru")</f>
        <v/>
      </c>
      <c r="D4" s="6">
        <f>COUNTIF(G7:G131,"Finalizat")</f>
        <v/>
      </c>
      <c r="E4" s="7">
        <f>COUNTIF(G7:G131,"Blocat")</f>
        <v/>
      </c>
      <c r="F4" s="8">
        <f>COUNTIF(F7:F131,"P0")</f>
        <v/>
      </c>
      <c r="G4" s="9">
        <f>COUNTIF(F7:F131,"P1")</f>
        <v/>
      </c>
      <c r="H4" s="10">
        <f>COUNTIF(F7:F131,"P2")</f>
        <v/>
      </c>
      <c r="I4" s="9" t="n">
        <v>12</v>
      </c>
      <c r="J4" s="9" t="n">
        <v>16</v>
      </c>
      <c r="K4" s="6" t="n">
        <v>2800</v>
      </c>
      <c r="L4" s="6" t="n">
        <v>17200</v>
      </c>
    </row>
    <row r="5" ht="8" customHeight="1" s="50"/>
    <row r="6" ht="22" customHeight="1" s="50">
      <c r="A6" s="11" t="inlineStr">
        <is>
          <t>ID</t>
        </is>
      </c>
      <c r="B6" s="11" t="inlineStr">
        <is>
          <t>WS</t>
        </is>
      </c>
      <c r="C6" s="11" t="inlineStr">
        <is>
          <t>Workstream</t>
        </is>
      </c>
      <c r="D6" s="11" t="inlineStr">
        <is>
          <t>Task / Actiune</t>
        </is>
      </c>
      <c r="E6" s="11" t="inlineStr">
        <is>
          <t>Owner</t>
        </is>
      </c>
      <c r="F6" s="11" t="inlineStr">
        <is>
          <t>Prioritate</t>
        </is>
      </c>
      <c r="G6" s="11" t="inlineStr">
        <is>
          <t>Status</t>
        </is>
      </c>
      <c r="H6" s="11" t="inlineStr">
        <is>
          <t>Data tinta</t>
        </is>
      </c>
      <c r="I6" s="11" t="inlineStr">
        <is>
          <t>% Done</t>
        </is>
      </c>
      <c r="J6" s="11" t="inlineStr">
        <is>
          <t>Blocat?</t>
        </is>
      </c>
      <c r="K6" s="11" t="inlineStr">
        <is>
          <t>Note rapide</t>
        </is>
      </c>
      <c r="L6" s="11" t="inlineStr">
        <is>
          <t>Dovada / Link</t>
        </is>
      </c>
      <c r="M6" t="inlineStr">
        <is>
          <t>MVP?</t>
        </is>
      </c>
    </row>
    <row r="7" ht="18" customHeight="1" s="50">
      <c r="A7" s="12" t="inlineStr">
        <is>
          <t>ACT-001</t>
        </is>
      </c>
      <c r="B7" s="13" t="inlineStr">
        <is>
          <t>WS01</t>
        </is>
      </c>
      <c r="C7" s="14" t="inlineStr">
        <is>
          <t>Strategie, guvernanta, scope MVP</t>
        </is>
      </c>
      <c r="D7" s="15" t="inlineStr">
        <is>
          <t>Definire document decizie produs</t>
        </is>
      </c>
      <c r="E7" s="14" t="inlineStr">
        <is>
          <t>Stelian</t>
        </is>
      </c>
      <c r="F7" s="16" t="inlineStr">
        <is>
          <t>P0</t>
        </is>
      </c>
      <c r="G7" s="17" t="inlineStr">
        <is>
          <t>Finalizat</t>
        </is>
      </c>
      <c r="H7" s="14" t="inlineStr">
        <is>
          <t>01.06.2026</t>
        </is>
      </c>
      <c r="I7" s="18" t="n">
        <v>0</v>
      </c>
      <c r="J7" s="18" t="inlineStr">
        <is>
          <t>Nu</t>
        </is>
      </c>
      <c r="K7" s="15" t="n"/>
      <c r="L7" s="15" t="n"/>
      <c r="M7" t="inlineStr">
        <is>
          <t>Da</t>
        </is>
      </c>
    </row>
    <row r="8" ht="18" customHeight="1" s="50">
      <c r="A8" s="12" t="inlineStr">
        <is>
          <t>ACT-002</t>
        </is>
      </c>
      <c r="B8" s="13" t="inlineStr">
        <is>
          <t>WS01</t>
        </is>
      </c>
      <c r="C8" s="19" t="inlineStr">
        <is>
          <t>Strategie, guvernanta, scope MVP</t>
        </is>
      </c>
      <c r="D8" s="20" t="inlineStr">
        <is>
          <t>Stabilire obiective MVP</t>
        </is>
      </c>
      <c r="E8" s="19" t="inlineStr">
        <is>
          <t>Stelian</t>
        </is>
      </c>
      <c r="F8" s="16" t="inlineStr">
        <is>
          <t>P0</t>
        </is>
      </c>
      <c r="G8" s="17" t="inlineStr">
        <is>
          <t>Finalizat</t>
        </is>
      </c>
      <c r="H8" s="19" t="inlineStr">
        <is>
          <t>01.06.2026</t>
        </is>
      </c>
      <c r="I8" s="13" t="n">
        <v>100</v>
      </c>
      <c r="J8" s="13" t="inlineStr">
        <is>
          <t>Nu</t>
        </is>
      </c>
      <c r="K8" s="20" t="inlineStr">
        <is>
          <t>Obiectivele MVP stabilite si implementate</t>
        </is>
      </c>
      <c r="L8" s="20" t="n"/>
      <c r="M8" t="inlineStr">
        <is>
          <t>Da</t>
        </is>
      </c>
    </row>
    <row r="9" ht="18" customHeight="1" s="50">
      <c r="A9" s="12" t="inlineStr">
        <is>
          <t>ACT-003</t>
        </is>
      </c>
      <c r="B9" s="13" t="inlineStr">
        <is>
          <t>WS01</t>
        </is>
      </c>
      <c r="C9" s="14" t="inlineStr">
        <is>
          <t>Strategie, guvernanta, scope MVP</t>
        </is>
      </c>
      <c r="D9" s="15" t="inlineStr">
        <is>
          <t>Stabilire reguli de scope</t>
        </is>
      </c>
      <c r="E9" s="14" t="inlineStr">
        <is>
          <t>Stelian</t>
        </is>
      </c>
      <c r="F9" s="16" t="inlineStr">
        <is>
          <t>P0</t>
        </is>
      </c>
      <c r="G9" s="17" t="inlineStr">
        <is>
          <t>Finalizat</t>
        </is>
      </c>
      <c r="H9" s="14" t="inlineStr">
        <is>
          <t>02.06.2026</t>
        </is>
      </c>
      <c r="I9" s="18" t="n">
        <v>100</v>
      </c>
      <c r="J9" s="18" t="inlineStr">
        <is>
          <t>Nu</t>
        </is>
      </c>
      <c r="K9" s="15" t="inlineStr">
        <is>
          <t>Dep: ACT-002 | Reguli scope definite prin document MVP</t>
        </is>
      </c>
      <c r="L9" s="15" t="n"/>
      <c r="M9" t="inlineStr">
        <is>
          <t>Da</t>
        </is>
      </c>
    </row>
    <row r="10" ht="18" customHeight="1" s="50">
      <c r="A10" s="12" t="inlineStr">
        <is>
          <t>ACT-004</t>
        </is>
      </c>
      <c r="B10" s="13" t="inlineStr">
        <is>
          <t>WS01</t>
        </is>
      </c>
      <c r="C10" s="19" t="inlineStr">
        <is>
          <t>Strategie, guvernanta, scope MVP</t>
        </is>
      </c>
      <c r="D10" s="20" t="inlineStr">
        <is>
          <t>Stabilire vocabular unic</t>
        </is>
      </c>
      <c r="E10" s="19" t="inlineStr">
        <is>
          <t>Stelian</t>
        </is>
      </c>
      <c r="F10" s="16" t="inlineStr">
        <is>
          <t>P0</t>
        </is>
      </c>
      <c r="G10" s="17" t="inlineStr">
        <is>
          <t>Neinceput</t>
        </is>
      </c>
      <c r="H10" s="19" t="inlineStr">
        <is>
          <t>03.06.2026</t>
        </is>
      </c>
      <c r="I10" s="13" t="n">
        <v>0</v>
      </c>
      <c r="J10" s="13" t="inlineStr">
        <is>
          <t>Nu</t>
        </is>
      </c>
      <c r="K10" s="20" t="n"/>
      <c r="L10" s="20" t="n"/>
      <c r="M10" t="inlineStr">
        <is>
          <t>Da</t>
        </is>
      </c>
    </row>
    <row r="11" ht="18" customHeight="1" s="50">
      <c r="A11" s="12" t="inlineStr">
        <is>
          <t>ACT-005</t>
        </is>
      </c>
      <c r="B11" s="13" t="inlineStr">
        <is>
          <t>WS01</t>
        </is>
      </c>
      <c r="C11" s="14" t="inlineStr">
        <is>
          <t>Strategie, guvernanta, scope MVP</t>
        </is>
      </c>
      <c r="D11" s="15" t="inlineStr">
        <is>
          <t>Stabilire pachete comerciale initiale</t>
        </is>
      </c>
      <c r="E11" s="14" t="inlineStr">
        <is>
          <t>Stelian</t>
        </is>
      </c>
      <c r="F11" s="16" t="inlineStr">
        <is>
          <t>P0</t>
        </is>
      </c>
      <c r="G11" s="17" t="inlineStr">
        <is>
          <t>Neinceput</t>
        </is>
      </c>
      <c r="H11" s="14" t="inlineStr">
        <is>
          <t>07.06.2026</t>
        </is>
      </c>
      <c r="I11" s="18" t="n">
        <v>0</v>
      </c>
      <c r="J11" s="18" t="inlineStr">
        <is>
          <t>Nu</t>
        </is>
      </c>
      <c r="K11" s="15" t="n"/>
      <c r="L11" s="15" t="n"/>
      <c r="M11" t="inlineStr">
        <is>
          <t>Da</t>
        </is>
      </c>
    </row>
    <row r="12" ht="18" customHeight="1" s="50">
      <c r="A12" s="12" t="inlineStr">
        <is>
          <t>ACT-006</t>
        </is>
      </c>
      <c r="B12" s="13" t="inlineStr">
        <is>
          <t>WS01</t>
        </is>
      </c>
      <c r="C12" s="19" t="inlineStr">
        <is>
          <t>Strategie, guvernanta, scope MVP</t>
        </is>
      </c>
      <c r="D12" s="20" t="inlineStr">
        <is>
          <t>Creare backlog central</t>
        </is>
      </c>
      <c r="E12" s="19" t="inlineStr">
        <is>
          <t>Stelian</t>
        </is>
      </c>
      <c r="F12" s="16" t="inlineStr">
        <is>
          <t>P0</t>
        </is>
      </c>
      <c r="G12" s="17" t="inlineStr">
        <is>
          <t>Neinceput</t>
        </is>
      </c>
      <c r="H12" s="19" t="inlineStr">
        <is>
          <t>05.06.2026</t>
        </is>
      </c>
      <c r="I12" s="13" t="n">
        <v>0</v>
      </c>
      <c r="J12" s="13" t="inlineStr">
        <is>
          <t>Nu</t>
        </is>
      </c>
      <c r="K12" s="20" t="inlineStr">
        <is>
          <t>Dep: ACT-005</t>
        </is>
      </c>
      <c r="L12" s="20" t="n"/>
      <c r="M12" t="inlineStr">
        <is>
          <t>Nu</t>
        </is>
      </c>
    </row>
    <row r="13" ht="18" customHeight="1" s="50">
      <c r="A13" s="12" t="inlineStr">
        <is>
          <t>ACT-007</t>
        </is>
      </c>
      <c r="B13" s="13" t="inlineStr">
        <is>
          <t>WS01</t>
        </is>
      </c>
      <c r="C13" s="14" t="inlineStr">
        <is>
          <t>Strategie, guvernanta, scope MVP</t>
        </is>
      </c>
      <c r="D13" s="15" t="inlineStr">
        <is>
          <t>Stabilire RACI proiect</t>
        </is>
      </c>
      <c r="E13" s="14" t="inlineStr">
        <is>
          <t>Stelian</t>
        </is>
      </c>
      <c r="F13" s="16" t="inlineStr">
        <is>
          <t>P0</t>
        </is>
      </c>
      <c r="G13" s="17" t="inlineStr">
        <is>
          <t>Neinceput</t>
        </is>
      </c>
      <c r="H13" s="14" t="inlineStr">
        <is>
          <t>07.06.2026</t>
        </is>
      </c>
      <c r="I13" s="18" t="n">
        <v>0</v>
      </c>
      <c r="J13" s="18" t="inlineStr">
        <is>
          <t>Nu</t>
        </is>
      </c>
      <c r="K13" s="15" t="n"/>
      <c r="L13" s="15" t="n"/>
      <c r="M13" t="inlineStr">
        <is>
          <t>Nu</t>
        </is>
      </c>
    </row>
    <row r="14" ht="18" customHeight="1" s="50">
      <c r="A14" s="12" t="inlineStr">
        <is>
          <t>ACT-008</t>
        </is>
      </c>
      <c r="B14" s="13" t="inlineStr">
        <is>
          <t>WS01</t>
        </is>
      </c>
      <c r="C14" s="19" t="inlineStr">
        <is>
          <t>Strategie, guvernanta, scope MVP</t>
        </is>
      </c>
      <c r="D14" s="20" t="inlineStr">
        <is>
          <t>Stabilire criterii de acceptanta</t>
        </is>
      </c>
      <c r="E14" s="19" t="inlineStr">
        <is>
          <t>Stelian</t>
        </is>
      </c>
      <c r="F14" s="16" t="inlineStr">
        <is>
          <t>P0</t>
        </is>
      </c>
      <c r="G14" s="17" t="inlineStr">
        <is>
          <t>Neinceput</t>
        </is>
      </c>
      <c r="H14" s="19" t="inlineStr">
        <is>
          <t>08.06.2026</t>
        </is>
      </c>
      <c r="I14" s="13" t="n">
        <v>0</v>
      </c>
      <c r="J14" s="13" t="inlineStr">
        <is>
          <t>Nu</t>
        </is>
      </c>
      <c r="K14" s="20" t="n"/>
      <c r="L14" s="20" t="n"/>
      <c r="M14" t="inlineStr">
        <is>
          <t>Nu</t>
        </is>
      </c>
    </row>
    <row r="15" ht="18" customHeight="1" s="50">
      <c r="A15" s="12" t="inlineStr">
        <is>
          <t>ACT-009</t>
        </is>
      </c>
      <c r="B15" s="13" t="inlineStr">
        <is>
          <t>WS01</t>
        </is>
      </c>
      <c r="C15" s="14" t="inlineStr">
        <is>
          <t>Strategie, guvernanta, scope MVP</t>
        </is>
      </c>
      <c r="D15" s="15" t="inlineStr">
        <is>
          <t>Stabilire ritualuri de lucru</t>
        </is>
      </c>
      <c r="E15" s="14" t="inlineStr">
        <is>
          <t>Stelian</t>
        </is>
      </c>
      <c r="F15" s="21" t="inlineStr">
        <is>
          <t>P1</t>
        </is>
      </c>
      <c r="G15" s="17" t="inlineStr">
        <is>
          <t>Neinceput</t>
        </is>
      </c>
      <c r="H15" s="14" t="inlineStr">
        <is>
          <t>09.06.2026</t>
        </is>
      </c>
      <c r="I15" s="18" t="n">
        <v>0</v>
      </c>
      <c r="J15" s="18" t="inlineStr">
        <is>
          <t>Nu</t>
        </is>
      </c>
      <c r="K15" s="15" t="inlineStr">
        <is>
          <t>Dep: ACT-008</t>
        </is>
      </c>
      <c r="L15" s="15" t="n"/>
      <c r="M15" t="inlineStr">
        <is>
          <t>Nu</t>
        </is>
      </c>
    </row>
    <row r="16" ht="18" customHeight="1" s="50">
      <c r="A16" s="12" t="inlineStr">
        <is>
          <t>ACT-010</t>
        </is>
      </c>
      <c r="B16" s="13" t="inlineStr">
        <is>
          <t>WS01</t>
        </is>
      </c>
      <c r="C16" s="19" t="inlineStr">
        <is>
          <t>Strategie, guvernanta, scope MVP</t>
        </is>
      </c>
      <c r="D16" s="20" t="inlineStr">
        <is>
          <t>Pregatire mediu colaborare (Drive/GitHub)</t>
        </is>
      </c>
      <c r="E16" s="19" t="inlineStr">
        <is>
          <t>Stelian</t>
        </is>
      </c>
      <c r="F16" s="21" t="inlineStr">
        <is>
          <t>P1</t>
        </is>
      </c>
      <c r="G16" s="17" t="inlineStr">
        <is>
          <t>Neinceput</t>
        </is>
      </c>
      <c r="H16" s="19" t="inlineStr">
        <is>
          <t>14.06.2026</t>
        </is>
      </c>
      <c r="I16" s="13" t="n">
        <v>0</v>
      </c>
      <c r="J16" s="13" t="inlineStr">
        <is>
          <t>Nu</t>
        </is>
      </c>
      <c r="K16" s="20" t="n"/>
      <c r="L16" s="20" t="n"/>
      <c r="M16" t="inlineStr">
        <is>
          <t>Nu</t>
        </is>
      </c>
    </row>
    <row r="17" ht="18" customHeight="1" s="50">
      <c r="A17" s="12" t="inlineStr">
        <is>
          <t>ACT-011</t>
        </is>
      </c>
      <c r="B17" s="13" t="inlineStr">
        <is>
          <t>WS01</t>
        </is>
      </c>
      <c r="C17" s="14" t="inlineStr">
        <is>
          <t>Strategie, guvernanta, scope MVP</t>
        </is>
      </c>
      <c r="D17" s="15" t="inlineStr">
        <is>
          <t>Definire dashboard managerial</t>
        </is>
      </c>
      <c r="E17" s="14" t="inlineStr">
        <is>
          <t>Stelian</t>
        </is>
      </c>
      <c r="F17" s="21" t="inlineStr">
        <is>
          <t>P1</t>
        </is>
      </c>
      <c r="G17" s="17" t="inlineStr">
        <is>
          <t>Neinceput</t>
        </is>
      </c>
      <c r="H17" s="14" t="inlineStr">
        <is>
          <t>13.06.2026</t>
        </is>
      </c>
      <c r="I17" s="18" t="n">
        <v>0</v>
      </c>
      <c r="J17" s="18" t="inlineStr">
        <is>
          <t>Nu</t>
        </is>
      </c>
      <c r="K17" s="15" t="n"/>
      <c r="L17" s="15" t="n"/>
      <c r="M17" t="inlineStr">
        <is>
          <t>Nu</t>
        </is>
      </c>
    </row>
    <row r="18" ht="18" customHeight="1" s="50">
      <c r="A18" s="12" t="inlineStr">
        <is>
          <t>ACT-012</t>
        </is>
      </c>
      <c r="B18" s="13" t="inlineStr">
        <is>
          <t>WS01</t>
        </is>
      </c>
      <c r="C18" s="19" t="inlineStr">
        <is>
          <t>Strategie, guvernanta, scope MVP</t>
        </is>
      </c>
      <c r="D18" s="20" t="inlineStr">
        <is>
          <t>Validare denumire si mesaje</t>
        </is>
      </c>
      <c r="E18" s="19" t="inlineStr">
        <is>
          <t>Stelian</t>
        </is>
      </c>
      <c r="F18" s="21" t="inlineStr">
        <is>
          <t>P1</t>
        </is>
      </c>
      <c r="G18" s="17" t="inlineStr">
        <is>
          <t>Neinceput</t>
        </is>
      </c>
      <c r="H18" s="19" t="inlineStr">
        <is>
          <t>14.06.2026</t>
        </is>
      </c>
      <c r="I18" s="13" t="n">
        <v>0</v>
      </c>
      <c r="J18" s="13" t="inlineStr">
        <is>
          <t>Nu</t>
        </is>
      </c>
      <c r="K18" s="20" t="inlineStr">
        <is>
          <t>Dep: ACT-011</t>
        </is>
      </c>
      <c r="L18" s="20" t="n"/>
      <c r="M18" t="inlineStr">
        <is>
          <t>Nu</t>
        </is>
      </c>
    </row>
    <row r="19" ht="18" customHeight="1" s="50">
      <c r="A19" s="12" t="inlineStr">
        <is>
          <t>ACT-013</t>
        </is>
      </c>
      <c r="B19" s="13" t="inlineStr">
        <is>
          <t>WS01</t>
        </is>
      </c>
      <c r="C19" s="14" t="inlineStr">
        <is>
          <t>Strategie, guvernanta, scope MVP</t>
        </is>
      </c>
      <c r="D19" s="15" t="inlineStr">
        <is>
          <t>Stabilire politica de modificari</t>
        </is>
      </c>
      <c r="E19" s="14" t="inlineStr">
        <is>
          <t>Stelian</t>
        </is>
      </c>
      <c r="F19" s="22" t="inlineStr">
        <is>
          <t>P2</t>
        </is>
      </c>
      <c r="G19" s="17" t="inlineStr">
        <is>
          <t>Neinceput</t>
        </is>
      </c>
      <c r="H19" s="14" t="inlineStr">
        <is>
          <t>14.06.2026</t>
        </is>
      </c>
      <c r="I19" s="18" t="n">
        <v>0</v>
      </c>
      <c r="J19" s="18" t="inlineStr">
        <is>
          <t>Nu</t>
        </is>
      </c>
      <c r="K19" s="15" t="n"/>
      <c r="L19" s="15" t="n"/>
      <c r="M19" t="inlineStr">
        <is>
          <t>Nu</t>
        </is>
      </c>
    </row>
    <row r="20" ht="18" customHeight="1" s="50">
      <c r="A20" s="12" t="inlineStr">
        <is>
          <t>ACT-014</t>
        </is>
      </c>
      <c r="B20" s="13" t="inlineStr">
        <is>
          <t>WS01</t>
        </is>
      </c>
      <c r="C20" s="19" t="inlineStr">
        <is>
          <t>Strategie, guvernanta, scope MVP</t>
        </is>
      </c>
      <c r="D20" s="20" t="inlineStr">
        <is>
          <t>Plan de comunicare cu Mihai</t>
        </is>
      </c>
      <c r="E20" s="19" t="inlineStr">
        <is>
          <t>Stelian</t>
        </is>
      </c>
      <c r="F20" s="22" t="inlineStr">
        <is>
          <t>P2</t>
        </is>
      </c>
      <c r="G20" s="17" t="inlineStr">
        <is>
          <t>Neinceput</t>
        </is>
      </c>
      <c r="H20" s="19" t="inlineStr">
        <is>
          <t>14.06.2026</t>
        </is>
      </c>
      <c r="I20" s="13" t="n">
        <v>0</v>
      </c>
      <c r="J20" s="13" t="inlineStr">
        <is>
          <t>Nu</t>
        </is>
      </c>
      <c r="K20" s="20" t="n"/>
      <c r="L20" s="20" t="n"/>
      <c r="M20" t="inlineStr">
        <is>
          <t>Nu</t>
        </is>
      </c>
    </row>
    <row r="21" ht="18" customHeight="1" s="50">
      <c r="A21" s="12" t="inlineStr">
        <is>
          <t>ACT-015</t>
        </is>
      </c>
      <c r="B21" s="13" t="inlineStr">
        <is>
          <t>WS01</t>
        </is>
      </c>
      <c r="C21" s="14" t="inlineStr">
        <is>
          <t>Strategie, guvernanta, scope MVP</t>
        </is>
      </c>
      <c r="D21" s="15" t="inlineStr">
        <is>
          <t>Aprobare plan versiune 1.0</t>
        </is>
      </c>
      <c r="E21" s="14" t="inlineStr">
        <is>
          <t>Stelian</t>
        </is>
      </c>
      <c r="F21" s="22" t="inlineStr">
        <is>
          <t>P2</t>
        </is>
      </c>
      <c r="G21" s="17" t="inlineStr">
        <is>
          <t>Neinceput</t>
        </is>
      </c>
      <c r="H21" s="14" t="inlineStr">
        <is>
          <t>14.06.2026</t>
        </is>
      </c>
      <c r="I21" s="18" t="n">
        <v>0</v>
      </c>
      <c r="J21" s="18" t="inlineStr">
        <is>
          <t>Nu</t>
        </is>
      </c>
      <c r="K21" s="15" t="inlineStr">
        <is>
          <t>Dep: ACT-014</t>
        </is>
      </c>
      <c r="L21" s="15" t="n"/>
      <c r="M21" t="inlineStr">
        <is>
          <t>Nu</t>
        </is>
      </c>
    </row>
    <row r="22" ht="18" customHeight="1" s="50">
      <c r="A22" s="12" t="inlineStr">
        <is>
          <t>ACT-016</t>
        </is>
      </c>
      <c r="B22" s="13" t="inlineStr">
        <is>
          <t>WS02</t>
        </is>
      </c>
      <c r="C22" s="19" t="inlineStr">
        <is>
          <t>Cadru procedural ONRC, contabil, fiscal</t>
        </is>
      </c>
      <c r="D22" s="20" t="inlineStr">
        <is>
          <t>Inventariere proceduri ONRC</t>
        </is>
      </c>
      <c r="E22" s="19" t="inlineStr">
        <is>
          <t>Stelian</t>
        </is>
      </c>
      <c r="F22" s="16" t="inlineStr">
        <is>
          <t>P0</t>
        </is>
      </c>
      <c r="G22" s="17" t="inlineStr">
        <is>
          <t>Neinceput</t>
        </is>
      </c>
      <c r="H22" s="19" t="inlineStr">
        <is>
          <t>01.06.2026</t>
        </is>
      </c>
      <c r="I22" s="13" t="n">
        <v>0</v>
      </c>
      <c r="J22" s="13" t="inlineStr">
        <is>
          <t>Nu</t>
        </is>
      </c>
      <c r="K22" s="20" t="n"/>
      <c r="L22" s="20" t="n"/>
      <c r="M22" t="inlineStr">
        <is>
          <t>Da</t>
        </is>
      </c>
    </row>
    <row r="23" ht="18" customHeight="1" s="50">
      <c r="A23" s="12" t="inlineStr">
        <is>
          <t>ACT-017</t>
        </is>
      </c>
      <c r="B23" s="13" t="inlineStr">
        <is>
          <t>WS02</t>
        </is>
      </c>
      <c r="C23" s="14" t="inlineStr">
        <is>
          <t>Cadru procedural ONRC, contabil, fiscal</t>
        </is>
      </c>
      <c r="D23" s="15" t="inlineStr">
        <is>
          <t>Validare radiere PFA</t>
        </is>
      </c>
      <c r="E23" s="14" t="inlineStr">
        <is>
          <t>Stelian</t>
        </is>
      </c>
      <c r="F23" s="16" t="inlineStr">
        <is>
          <t>P0</t>
        </is>
      </c>
      <c r="G23" s="17" t="inlineStr">
        <is>
          <t>Neinceput</t>
        </is>
      </c>
      <c r="H23" s="14" t="inlineStr">
        <is>
          <t>02.06.2026</t>
        </is>
      </c>
      <c r="I23" s="18" t="n">
        <v>0</v>
      </c>
      <c r="J23" s="18" t="inlineStr">
        <is>
          <t>Nu</t>
        </is>
      </c>
      <c r="K23" s="15" t="n"/>
      <c r="L23" s="15" t="n"/>
      <c r="M23" t="inlineStr">
        <is>
          <t>Da</t>
        </is>
      </c>
    </row>
    <row r="24" ht="18" customHeight="1" s="50">
      <c r="A24" s="12" t="inlineStr">
        <is>
          <t>ACT-018</t>
        </is>
      </c>
      <c r="B24" s="13" t="inlineStr">
        <is>
          <t>WS02</t>
        </is>
      </c>
      <c r="C24" s="19" t="inlineStr">
        <is>
          <t>Cadru procedural ONRC, contabil, fiscal</t>
        </is>
      </c>
      <c r="D24" s="20" t="inlineStr">
        <is>
          <t>Validare SRL dizolvare/lichidare simultana</t>
        </is>
      </c>
      <c r="E24" s="19" t="inlineStr">
        <is>
          <t>Stelian</t>
        </is>
      </c>
      <c r="F24" s="16" t="inlineStr">
        <is>
          <t>P0</t>
        </is>
      </c>
      <c r="G24" s="17" t="inlineStr">
        <is>
          <t>Neinceput</t>
        </is>
      </c>
      <c r="H24" s="19" t="inlineStr">
        <is>
          <t>05.06.2026</t>
        </is>
      </c>
      <c r="I24" s="13" t="n">
        <v>0</v>
      </c>
      <c r="J24" s="13" t="inlineStr">
        <is>
          <t>Nu</t>
        </is>
      </c>
      <c r="K24" s="20" t="inlineStr">
        <is>
          <t>Dep: ACT-017</t>
        </is>
      </c>
      <c r="L24" s="20" t="n"/>
      <c r="M24" t="inlineStr">
        <is>
          <t>Da</t>
        </is>
      </c>
    </row>
    <row r="25" ht="18" customHeight="1" s="50">
      <c r="A25" s="12" t="inlineStr">
        <is>
          <t>ACT-019</t>
        </is>
      </c>
      <c r="B25" s="13" t="inlineStr">
        <is>
          <t>WS02</t>
        </is>
      </c>
      <c r="C25" s="14" t="inlineStr">
        <is>
          <t>Cadru procedural ONRC, contabil, fiscal</t>
        </is>
      </c>
      <c r="D25" s="15" t="inlineStr">
        <is>
          <t>Validare SRL cu lichidator</t>
        </is>
      </c>
      <c r="E25" s="14" t="inlineStr">
        <is>
          <t>Stelian</t>
        </is>
      </c>
      <c r="F25" s="16" t="inlineStr">
        <is>
          <t>P0</t>
        </is>
      </c>
      <c r="G25" s="17" t="inlineStr">
        <is>
          <t>Neinceput</t>
        </is>
      </c>
      <c r="H25" s="14" t="inlineStr">
        <is>
          <t>08.06.2026</t>
        </is>
      </c>
      <c r="I25" s="18" t="n">
        <v>0</v>
      </c>
      <c r="J25" s="18" t="inlineStr">
        <is>
          <t>Nu</t>
        </is>
      </c>
      <c r="K25" s="15" t="n"/>
      <c r="L25" s="15" t="n"/>
      <c r="M25" t="inlineStr">
        <is>
          <t>Da</t>
        </is>
      </c>
    </row>
    <row r="26" ht="18" customHeight="1" s="50">
      <c r="A26" s="12" t="inlineStr">
        <is>
          <t>ACT-020</t>
        </is>
      </c>
      <c r="B26" s="13" t="inlineStr">
        <is>
          <t>WS02</t>
        </is>
      </c>
      <c r="C26" s="19" t="inlineStr">
        <is>
          <t>Cadru procedural ONRC, contabil, fiscal</t>
        </is>
      </c>
      <c r="D26" s="20" t="inlineStr">
        <is>
          <t>Definire intrebari risc fiscal</t>
        </is>
      </c>
      <c r="E26" s="19" t="inlineStr">
        <is>
          <t>Stelian</t>
        </is>
      </c>
      <c r="F26" s="16" t="inlineStr">
        <is>
          <t>P0</t>
        </is>
      </c>
      <c r="G26" s="17" t="inlineStr">
        <is>
          <t>Neinceput</t>
        </is>
      </c>
      <c r="H26" s="19" t="inlineStr">
        <is>
          <t>13.06.2026</t>
        </is>
      </c>
      <c r="I26" s="13" t="n">
        <v>0</v>
      </c>
      <c r="J26" s="13" t="inlineStr">
        <is>
          <t>Nu</t>
        </is>
      </c>
      <c r="K26" s="20" t="n"/>
      <c r="L26" s="20" t="n"/>
      <c r="M26" t="inlineStr">
        <is>
          <t>Da</t>
        </is>
      </c>
    </row>
    <row r="27" ht="18" customHeight="1" s="50">
      <c r="A27" s="12" t="inlineStr">
        <is>
          <t>ACT-021</t>
        </is>
      </c>
      <c r="B27" s="13" t="inlineStr">
        <is>
          <t>WS02</t>
        </is>
      </c>
      <c r="C27" s="14" t="inlineStr">
        <is>
          <t>Cadru procedural ONRC, contabil, fiscal</t>
        </is>
      </c>
      <c r="D27" s="15" t="inlineStr">
        <is>
          <t>Definire documente obligatorii</t>
        </is>
      </c>
      <c r="E27" s="14" t="inlineStr">
        <is>
          <t>Stelian</t>
        </is>
      </c>
      <c r="F27" s="16" t="inlineStr">
        <is>
          <t>P0</t>
        </is>
      </c>
      <c r="G27" s="17" t="inlineStr">
        <is>
          <t>Neinceput</t>
        </is>
      </c>
      <c r="H27" s="14" t="inlineStr">
        <is>
          <t>13.06.2026</t>
        </is>
      </c>
      <c r="I27" s="18" t="n">
        <v>0</v>
      </c>
      <c r="J27" s="18" t="inlineStr">
        <is>
          <t>Nu</t>
        </is>
      </c>
      <c r="K27" s="15" t="inlineStr">
        <is>
          <t>Dep: ACT-020</t>
        </is>
      </c>
      <c r="L27" s="15" t="n"/>
      <c r="M27" t="inlineStr">
        <is>
          <t>Da</t>
        </is>
      </c>
    </row>
    <row r="28" ht="18" customHeight="1" s="50">
      <c r="A28" s="12" t="inlineStr">
        <is>
          <t>ACT-022</t>
        </is>
      </c>
      <c r="B28" s="13" t="inlineStr">
        <is>
          <t>WS02</t>
        </is>
      </c>
      <c r="C28" s="19" t="inlineStr">
        <is>
          <t>Cadru procedural ONRC, contabil, fiscal</t>
        </is>
      </c>
      <c r="D28" s="20" t="inlineStr">
        <is>
          <t>Definire documente optionale</t>
        </is>
      </c>
      <c r="E28" s="19" t="inlineStr">
        <is>
          <t>Stelian</t>
        </is>
      </c>
      <c r="F28" s="16" t="inlineStr">
        <is>
          <t>P0</t>
        </is>
      </c>
      <c r="G28" s="17" t="inlineStr">
        <is>
          <t>Neinceput</t>
        </is>
      </c>
      <c r="H28" s="19" t="inlineStr">
        <is>
          <t>15.06.2026</t>
        </is>
      </c>
      <c r="I28" s="13" t="n">
        <v>0</v>
      </c>
      <c r="J28" s="13" t="inlineStr">
        <is>
          <t>Nu</t>
        </is>
      </c>
      <c r="K28" s="20" t="n"/>
      <c r="L28" s="20" t="n"/>
      <c r="M28" t="inlineStr">
        <is>
          <t>Da</t>
        </is>
      </c>
    </row>
    <row r="29" ht="18" customHeight="1" s="50">
      <c r="A29" s="12" t="inlineStr">
        <is>
          <t>ACT-023</t>
        </is>
      </c>
      <c r="B29" s="13" t="inlineStr">
        <is>
          <t>WS02</t>
        </is>
      </c>
      <c r="C29" s="14" t="inlineStr">
        <is>
          <t>Cadru procedural ONRC, contabil, fiscal</t>
        </is>
      </c>
      <c r="D29" s="15" t="inlineStr">
        <is>
          <t>Definire statusuri ONRC</t>
        </is>
      </c>
      <c r="E29" s="14" t="inlineStr">
        <is>
          <t>Stelian</t>
        </is>
      </c>
      <c r="F29" s="16" t="inlineStr">
        <is>
          <t>P0</t>
        </is>
      </c>
      <c r="G29" s="17" t="inlineStr">
        <is>
          <t>Neinceput</t>
        </is>
      </c>
      <c r="H29" s="14" t="inlineStr">
        <is>
          <t>17.06.2026</t>
        </is>
      </c>
      <c r="I29" s="18" t="n">
        <v>0</v>
      </c>
      <c r="J29" s="18" t="inlineStr">
        <is>
          <t>Nu</t>
        </is>
      </c>
      <c r="K29" s="15" t="n"/>
      <c r="L29" s="15" t="n"/>
      <c r="M29" t="inlineStr">
        <is>
          <t>Da</t>
        </is>
      </c>
    </row>
    <row r="30" ht="18" customHeight="1" s="50">
      <c r="A30" s="12" t="inlineStr">
        <is>
          <t>ACT-024</t>
        </is>
      </c>
      <c r="B30" s="13" t="inlineStr">
        <is>
          <t>WS02</t>
        </is>
      </c>
      <c r="C30" s="19" t="inlineStr">
        <is>
          <t>Cadru procedural ONRC, contabil, fiscal</t>
        </is>
      </c>
      <c r="D30" s="20" t="inlineStr">
        <is>
          <t>Definire statusuri contabile</t>
        </is>
      </c>
      <c r="E30" s="19" t="inlineStr">
        <is>
          <t>Stelian</t>
        </is>
      </c>
      <c r="F30" s="21" t="inlineStr">
        <is>
          <t>P1</t>
        </is>
      </c>
      <c r="G30" s="17" t="inlineStr">
        <is>
          <t>Neinceput</t>
        </is>
      </c>
      <c r="H30" s="19" t="inlineStr">
        <is>
          <t>18.06.2026</t>
        </is>
      </c>
      <c r="I30" s="13" t="n">
        <v>0</v>
      </c>
      <c r="J30" s="13" t="inlineStr">
        <is>
          <t>Nu</t>
        </is>
      </c>
      <c r="K30" s="20" t="inlineStr">
        <is>
          <t>Dep: ACT-023</t>
        </is>
      </c>
      <c r="L30" s="20" t="n"/>
      <c r="M30" t="inlineStr">
        <is>
          <t>Da</t>
        </is>
      </c>
    </row>
    <row r="31" ht="18" customHeight="1" s="50">
      <c r="A31" s="12" t="inlineStr">
        <is>
          <t>ACT-025</t>
        </is>
      </c>
      <c r="B31" s="13" t="inlineStr">
        <is>
          <t>WS02</t>
        </is>
      </c>
      <c r="C31" s="14" t="inlineStr">
        <is>
          <t>Cadru procedural ONRC, contabil, fiscal</t>
        </is>
      </c>
      <c r="D31" s="15" t="inlineStr">
        <is>
          <t>Reguli human-in-the-loop AI</t>
        </is>
      </c>
      <c r="E31" s="14" t="inlineStr">
        <is>
          <t>Stelian</t>
        </is>
      </c>
      <c r="F31" s="21" t="inlineStr">
        <is>
          <t>P1</t>
        </is>
      </c>
      <c r="G31" s="17" t="inlineStr">
        <is>
          <t>Neinceput</t>
        </is>
      </c>
      <c r="H31" s="14" t="inlineStr">
        <is>
          <t>22.06.2026</t>
        </is>
      </c>
      <c r="I31" s="18" t="n">
        <v>0</v>
      </c>
      <c r="J31" s="18" t="inlineStr">
        <is>
          <t>Nu</t>
        </is>
      </c>
      <c r="K31" s="15" t="n"/>
      <c r="L31" s="15" t="n"/>
      <c r="M31" t="inlineStr">
        <is>
          <t>Nu</t>
        </is>
      </c>
    </row>
    <row r="32" ht="18" customHeight="1" s="50">
      <c r="A32" s="12" t="inlineStr">
        <is>
          <t>ACT-026</t>
        </is>
      </c>
      <c r="B32" s="13" t="inlineStr">
        <is>
          <t>WS02</t>
        </is>
      </c>
      <c r="C32" s="19" t="inlineStr">
        <is>
          <t>Cadru procedural ONRC, contabil, fiscal</t>
        </is>
      </c>
      <c r="D32" s="20" t="inlineStr">
        <is>
          <t>Draft disclaimere juridice</t>
        </is>
      </c>
      <c r="E32" s="19" t="inlineStr">
        <is>
          <t>Stelian</t>
        </is>
      </c>
      <c r="F32" s="21" t="inlineStr">
        <is>
          <t>P1</t>
        </is>
      </c>
      <c r="G32" s="17" t="inlineStr">
        <is>
          <t>Neinceput</t>
        </is>
      </c>
      <c r="H32" s="19" t="inlineStr">
        <is>
          <t>22.06.2026</t>
        </is>
      </c>
      <c r="I32" s="13" t="n">
        <v>0</v>
      </c>
      <c r="J32" s="13" t="inlineStr">
        <is>
          <t>Nu</t>
        </is>
      </c>
      <c r="K32" s="20" t="n"/>
      <c r="L32" s="20" t="n"/>
      <c r="M32" t="inlineStr">
        <is>
          <t>Nu</t>
        </is>
      </c>
    </row>
    <row r="33" ht="18" customHeight="1" s="50">
      <c r="A33" s="12" t="inlineStr">
        <is>
          <t>ACT-027</t>
        </is>
      </c>
      <c r="B33" s="13" t="inlineStr">
        <is>
          <t>WS02</t>
        </is>
      </c>
      <c r="C33" s="14" t="inlineStr">
        <is>
          <t>Cadru procedural ONRC, contabil, fiscal</t>
        </is>
      </c>
      <c r="D33" s="15" t="inlineStr">
        <is>
          <t>Reguli colectare documente fiscale</t>
        </is>
      </c>
      <c r="E33" s="14" t="inlineStr">
        <is>
          <t>Stelian</t>
        </is>
      </c>
      <c r="F33" s="21" t="inlineStr">
        <is>
          <t>P1</t>
        </is>
      </c>
      <c r="G33" s="17" t="inlineStr">
        <is>
          <t>Neinceput</t>
        </is>
      </c>
      <c r="H33" s="14" t="inlineStr">
        <is>
          <t>24.06.2026</t>
        </is>
      </c>
      <c r="I33" s="18" t="n">
        <v>0</v>
      </c>
      <c r="J33" s="18" t="inlineStr">
        <is>
          <t>Nu</t>
        </is>
      </c>
      <c r="K33" s="15" t="inlineStr">
        <is>
          <t>Dep: ACT-026</t>
        </is>
      </c>
      <c r="L33" s="15" t="n"/>
      <c r="M33" t="inlineStr">
        <is>
          <t>Nu</t>
        </is>
      </c>
    </row>
    <row r="34" ht="18" customHeight="1" s="50">
      <c r="A34" s="12" t="inlineStr">
        <is>
          <t>ACT-028</t>
        </is>
      </c>
      <c r="B34" s="13" t="inlineStr">
        <is>
          <t>WS02</t>
        </is>
      </c>
      <c r="C34" s="19" t="inlineStr">
        <is>
          <t>Cadru procedural ONRC, contabil, fiscal</t>
        </is>
      </c>
      <c r="D34" s="20" t="inlineStr">
        <is>
          <t>Model cerere catre contabil</t>
        </is>
      </c>
      <c r="E34" s="19" t="inlineStr">
        <is>
          <t>Stelian</t>
        </is>
      </c>
      <c r="F34" s="22" t="inlineStr">
        <is>
          <t>P2</t>
        </is>
      </c>
      <c r="G34" s="17" t="inlineStr">
        <is>
          <t>Neinceput</t>
        </is>
      </c>
      <c r="H34" s="19" t="inlineStr">
        <is>
          <t>26.06.2026</t>
        </is>
      </c>
      <c r="I34" s="13" t="n">
        <v>0</v>
      </c>
      <c r="J34" s="13" t="inlineStr">
        <is>
          <t>Nu</t>
        </is>
      </c>
      <c r="K34" s="20" t="n"/>
      <c r="L34" s="20" t="n"/>
      <c r="M34" t="inlineStr">
        <is>
          <t>Nu</t>
        </is>
      </c>
    </row>
    <row r="35" ht="18" customHeight="1" s="50">
      <c r="A35" s="12" t="inlineStr">
        <is>
          <t>ACT-029</t>
        </is>
      </c>
      <c r="B35" s="13" t="inlineStr">
        <is>
          <t>WS02</t>
        </is>
      </c>
      <c r="C35" s="14" t="inlineStr">
        <is>
          <t>Cadru procedural ONRC, contabil, fiscal</t>
        </is>
      </c>
      <c r="D35" s="15" t="inlineStr">
        <is>
          <t>Model cerere catre lichidator</t>
        </is>
      </c>
      <c r="E35" s="14" t="inlineStr">
        <is>
          <t>Stelian</t>
        </is>
      </c>
      <c r="F35" s="22" t="inlineStr">
        <is>
          <t>P2</t>
        </is>
      </c>
      <c r="G35" s="17" t="inlineStr">
        <is>
          <t>Neinceput</t>
        </is>
      </c>
      <c r="H35" s="14" t="inlineStr">
        <is>
          <t>28.06.2026</t>
        </is>
      </c>
      <c r="I35" s="18" t="n">
        <v>0</v>
      </c>
      <c r="J35" s="18" t="inlineStr">
        <is>
          <t>Nu</t>
        </is>
      </c>
      <c r="K35" s="15" t="n"/>
      <c r="L35" s="15" t="n"/>
      <c r="M35" t="inlineStr">
        <is>
          <t>Nu</t>
        </is>
      </c>
    </row>
    <row r="36" ht="18" customHeight="1" s="50">
      <c r="A36" s="12" t="inlineStr">
        <is>
          <t>ACT-030</t>
        </is>
      </c>
      <c r="B36" s="13" t="inlineStr">
        <is>
          <t>WS02</t>
        </is>
      </c>
      <c r="C36" s="19" t="inlineStr">
        <is>
          <t>Cadru procedural ONRC, contabil, fiscal</t>
        </is>
      </c>
      <c r="D36" s="20" t="inlineStr">
        <is>
          <t>Review final proceduri v1</t>
        </is>
      </c>
      <c r="E36" s="19" t="inlineStr">
        <is>
          <t>Stelian</t>
        </is>
      </c>
      <c r="F36" s="22" t="inlineStr">
        <is>
          <t>P2</t>
        </is>
      </c>
      <c r="G36" s="17" t="inlineStr">
        <is>
          <t>Neinceput</t>
        </is>
      </c>
      <c r="H36" s="19" t="inlineStr">
        <is>
          <t>28.06.2026</t>
        </is>
      </c>
      <c r="I36" s="13" t="n">
        <v>0</v>
      </c>
      <c r="J36" s="13" t="inlineStr">
        <is>
          <t>Nu</t>
        </is>
      </c>
      <c r="K36" s="20" t="inlineStr">
        <is>
          <t>Dep: ACT-029</t>
        </is>
      </c>
      <c r="L36" s="20" t="n"/>
      <c r="M36" t="inlineStr">
        <is>
          <t>Nu</t>
        </is>
      </c>
    </row>
    <row r="37" ht="18" customHeight="1" s="50">
      <c r="A37" s="12" t="inlineStr">
        <is>
          <t>ACT-031</t>
        </is>
      </c>
      <c r="B37" s="13" t="inlineStr">
        <is>
          <t>WS03</t>
        </is>
      </c>
      <c r="C37" s="14" t="inlineStr">
        <is>
          <t>Site lead magnet 1ExitBiz.RO</t>
        </is>
      </c>
      <c r="D37" s="15" t="inlineStr">
        <is>
          <t>Arhitectura informatie site</t>
        </is>
      </c>
      <c r="E37" s="14" t="inlineStr">
        <is>
          <t>Mihai</t>
        </is>
      </c>
      <c r="F37" s="21" t="inlineStr">
        <is>
          <t>P1</t>
        </is>
      </c>
      <c r="G37" s="17" t="inlineStr">
        <is>
          <t>Finalizat</t>
        </is>
      </c>
      <c r="H37" s="14" t="inlineStr">
        <is>
          <t>08.06.2026</t>
        </is>
      </c>
      <c r="I37" s="18" t="n">
        <v>100</v>
      </c>
      <c r="J37" s="18" t="inlineStr">
        <is>
          <t>Nu</t>
        </is>
      </c>
      <c r="K37" s="15" t="inlineStr">
        <is>
          <t>Arhitectura implementata: nav, servicii, blog, preturi, i18n RO/EN</t>
        </is>
      </c>
      <c r="L37" s="15" t="n"/>
      <c r="M37" t="inlineStr">
        <is>
          <t>Da</t>
        </is>
      </c>
    </row>
    <row r="38" ht="18" customHeight="1" s="50">
      <c r="A38" s="12" t="inlineStr">
        <is>
          <t>ACT-032</t>
        </is>
      </c>
      <c r="B38" s="13" t="inlineStr">
        <is>
          <t>WS03</t>
        </is>
      </c>
      <c r="C38" s="19" t="inlineStr">
        <is>
          <t>Site lead magnet 1ExitBiz.RO</t>
        </is>
      </c>
      <c r="D38" s="20" t="inlineStr">
        <is>
          <t>Homepage wireframe</t>
        </is>
      </c>
      <c r="E38" s="19" t="inlineStr">
        <is>
          <t>Mihai</t>
        </is>
      </c>
      <c r="F38" s="21" t="inlineStr">
        <is>
          <t>P1</t>
        </is>
      </c>
      <c r="G38" s="17" t="inlineStr">
        <is>
          <t>Finalizat</t>
        </is>
      </c>
      <c r="H38" s="19" t="inlineStr">
        <is>
          <t>13.06.2026</t>
        </is>
      </c>
      <c r="I38" s="13" t="n">
        <v>0</v>
      </c>
      <c r="J38" s="13" t="inlineStr">
        <is>
          <t>Nu</t>
        </is>
      </c>
      <c r="K38" s="20" t="n"/>
      <c r="L38" s="20" t="n"/>
      <c r="M38" t="inlineStr">
        <is>
          <t>Da</t>
        </is>
      </c>
    </row>
    <row r="39" ht="18" customHeight="1" s="50">
      <c r="A39" s="12" t="inlineStr">
        <is>
          <t>ACT-033</t>
        </is>
      </c>
      <c r="B39" s="13" t="inlineStr">
        <is>
          <t>WS03</t>
        </is>
      </c>
      <c r="C39" s="14" t="inlineStr">
        <is>
          <t>Site lead magnet 1ExitBiz.RO</t>
        </is>
      </c>
      <c r="D39" s="15" t="inlineStr">
        <is>
          <t>Pagina radiere PFA</t>
        </is>
      </c>
      <c r="E39" s="14" t="inlineStr">
        <is>
          <t>Mihai</t>
        </is>
      </c>
      <c r="F39" s="21" t="inlineStr">
        <is>
          <t>P1</t>
        </is>
      </c>
      <c r="G39" s="17" t="inlineStr">
        <is>
          <t>Finalizat</t>
        </is>
      </c>
      <c r="H39" s="14" t="inlineStr">
        <is>
          <t>15.06.2026</t>
        </is>
      </c>
      <c r="I39" s="18" t="n">
        <v>100</v>
      </c>
      <c r="J39" s="18" t="inlineStr">
        <is>
          <t>Nu</t>
        </is>
      </c>
      <c r="K39" s="15" t="inlineStr">
        <is>
          <t>Dep: ACT-032 | Pagina live pe exitbiz.netlify.app</t>
        </is>
      </c>
      <c r="L39" s="15" t="n"/>
      <c r="M39" t="inlineStr">
        <is>
          <t>Da</t>
        </is>
      </c>
    </row>
    <row r="40" ht="18" customHeight="1" s="50">
      <c r="A40" s="12" t="inlineStr">
        <is>
          <t>ACT-034</t>
        </is>
      </c>
      <c r="B40" s="13" t="inlineStr">
        <is>
          <t>WS03</t>
        </is>
      </c>
      <c r="C40" s="19" t="inlineStr">
        <is>
          <t>Site lead magnet 1ExitBiz.RO</t>
        </is>
      </c>
      <c r="D40" s="20" t="inlineStr">
        <is>
          <t>Pagina inchidere SRL</t>
        </is>
      </c>
      <c r="E40" s="19" t="inlineStr">
        <is>
          <t>Mihai</t>
        </is>
      </c>
      <c r="F40" s="21" t="inlineStr">
        <is>
          <t>P1</t>
        </is>
      </c>
      <c r="G40" s="17" t="inlineStr">
        <is>
          <t>Finalizat</t>
        </is>
      </c>
      <c r="H40" s="19" t="inlineStr">
        <is>
          <t>18.06.2026</t>
        </is>
      </c>
      <c r="I40" s="13" t="n">
        <v>100</v>
      </c>
      <c r="J40" s="13" t="inlineStr">
        <is>
          <t>Nu</t>
        </is>
      </c>
      <c r="K40" s="20" t="inlineStr">
        <is>
          <t>Pagina live</t>
        </is>
      </c>
      <c r="L40" s="20" t="n"/>
      <c r="M40" t="inlineStr">
        <is>
          <t>Da</t>
        </is>
      </c>
    </row>
    <row r="41" ht="18" customHeight="1" s="50">
      <c r="A41" s="12" t="inlineStr">
        <is>
          <t>ACT-035</t>
        </is>
      </c>
      <c r="B41" s="13" t="inlineStr">
        <is>
          <t>WS03</t>
        </is>
      </c>
      <c r="C41" s="14" t="inlineStr">
        <is>
          <t>Site lead magnet 1ExitBiz.RO</t>
        </is>
      </c>
      <c r="D41" s="15" t="inlineStr">
        <is>
          <t>Pagina SRL cu lichidator</t>
        </is>
      </c>
      <c r="E41" s="14" t="inlineStr">
        <is>
          <t>Mihai</t>
        </is>
      </c>
      <c r="F41" s="21" t="inlineStr">
        <is>
          <t>P1</t>
        </is>
      </c>
      <c r="G41" s="17" t="inlineStr">
        <is>
          <t>Finalizat</t>
        </is>
      </c>
      <c r="H41" s="14" t="inlineStr">
        <is>
          <t>22.06.2026</t>
        </is>
      </c>
      <c r="I41" s="18" t="n">
        <v>100</v>
      </c>
      <c r="J41" s="18" t="inlineStr">
        <is>
          <t>Nu</t>
        </is>
      </c>
      <c r="K41" s="15" t="inlineStr">
        <is>
          <t>Pagina live</t>
        </is>
      </c>
      <c r="L41" s="15" t="n"/>
      <c r="M41" t="inlineStr">
        <is>
          <t>Da</t>
        </is>
      </c>
    </row>
    <row r="42" ht="18" customHeight="1" s="50">
      <c r="A42" s="12" t="inlineStr">
        <is>
          <t>ACT-036</t>
        </is>
      </c>
      <c r="B42" s="13" t="inlineStr">
        <is>
          <t>WS03</t>
        </is>
      </c>
      <c r="C42" s="19" t="inlineStr">
        <is>
          <t>Site lead magnet 1ExitBiz.RO</t>
        </is>
      </c>
      <c r="D42" s="20" t="inlineStr">
        <is>
          <t>Pagina analiza preliminara</t>
        </is>
      </c>
      <c r="E42" s="19" t="inlineStr">
        <is>
          <t>Mihai</t>
        </is>
      </c>
      <c r="F42" s="21" t="inlineStr">
        <is>
          <t>P1</t>
        </is>
      </c>
      <c r="G42" s="17" t="inlineStr">
        <is>
          <t>Finalizat</t>
        </is>
      </c>
      <c r="H42" s="19" t="inlineStr">
        <is>
          <t>22.06.2026</t>
        </is>
      </c>
      <c r="I42" s="13" t="n">
        <v>100</v>
      </c>
      <c r="J42" s="13" t="inlineStr">
        <is>
          <t>Nu</t>
        </is>
      </c>
      <c r="K42" s="20" t="inlineStr">
        <is>
          <t>Dep: ACT-035 | Pagina live</t>
        </is>
      </c>
      <c r="L42" s="20" t="n"/>
      <c r="M42" t="inlineStr">
        <is>
          <t>Da</t>
        </is>
      </c>
    </row>
    <row r="43" ht="18" customHeight="1" s="50">
      <c r="A43" s="12" t="inlineStr">
        <is>
          <t>ACT-037</t>
        </is>
      </c>
      <c r="B43" s="13" t="inlineStr">
        <is>
          <t>WS03</t>
        </is>
      </c>
      <c r="C43" s="14" t="inlineStr">
        <is>
          <t>Site lead magnet 1ExitBiz.RO</t>
        </is>
      </c>
      <c r="D43" s="15" t="inlineStr">
        <is>
          <t>Pagina parteneri contabili</t>
        </is>
      </c>
      <c r="E43" s="14" t="inlineStr">
        <is>
          <t>Mihai</t>
        </is>
      </c>
      <c r="F43" s="21" t="inlineStr">
        <is>
          <t>P1</t>
        </is>
      </c>
      <c r="G43" s="17" t="inlineStr">
        <is>
          <t>Finalizat</t>
        </is>
      </c>
      <c r="H43" s="14" t="inlineStr">
        <is>
          <t>25.06.2026</t>
        </is>
      </c>
      <c r="I43" s="18" t="n">
        <v>100</v>
      </c>
      <c r="J43" s="18" t="inlineStr">
        <is>
          <t>Nu</t>
        </is>
      </c>
      <c r="K43" s="15" t="inlineStr">
        <is>
          <t>Pagina live</t>
        </is>
      </c>
      <c r="L43" s="15" t="n"/>
      <c r="M43" t="inlineStr">
        <is>
          <t>Da</t>
        </is>
      </c>
    </row>
    <row r="44" ht="18" customHeight="1" s="50">
      <c r="A44" s="12" t="inlineStr">
        <is>
          <t>ACT-038</t>
        </is>
      </c>
      <c r="B44" s="13" t="inlineStr">
        <is>
          <t>WS03</t>
        </is>
      </c>
      <c r="C44" s="19" t="inlineStr">
        <is>
          <t>Site lead magnet 1ExitBiz.RO</t>
        </is>
      </c>
      <c r="D44" s="20" t="inlineStr">
        <is>
          <t>Pagina parteneri lichidatori</t>
        </is>
      </c>
      <c r="E44" s="19" t="inlineStr">
        <is>
          <t>Mihai</t>
        </is>
      </c>
      <c r="F44" s="21" t="inlineStr">
        <is>
          <t>P1</t>
        </is>
      </c>
      <c r="G44" s="17" t="inlineStr">
        <is>
          <t>Finalizat</t>
        </is>
      </c>
      <c r="H44" s="19" t="inlineStr">
        <is>
          <t>27.06.2026</t>
        </is>
      </c>
      <c r="I44" s="13" t="n">
        <v>100</v>
      </c>
      <c r="J44" s="13" t="inlineStr">
        <is>
          <t>Nu</t>
        </is>
      </c>
      <c r="K44" s="20" t="inlineStr">
        <is>
          <t>Pagina live</t>
        </is>
      </c>
      <c r="L44" s="20" t="n"/>
      <c r="M44" t="inlineStr">
        <is>
          <t>Da</t>
        </is>
      </c>
    </row>
    <row r="45" ht="18" customHeight="1" s="50">
      <c r="A45" s="12" t="inlineStr">
        <is>
          <t>ACT-039</t>
        </is>
      </c>
      <c r="B45" s="13" t="inlineStr">
        <is>
          <t>WS03</t>
        </is>
      </c>
      <c r="C45" s="14" t="inlineStr">
        <is>
          <t>Site lead magnet 1ExitBiz.RO</t>
        </is>
      </c>
      <c r="D45" s="15" t="inlineStr">
        <is>
          <t>Calculator/diagnostic lead magnet</t>
        </is>
      </c>
      <c r="E45" s="14" t="inlineStr">
        <is>
          <t>Mihai</t>
        </is>
      </c>
      <c r="F45" s="21" t="inlineStr">
        <is>
          <t>P1</t>
        </is>
      </c>
      <c r="G45" s="17" t="inlineStr">
        <is>
          <t>Finalizat</t>
        </is>
      </c>
      <c r="H45" s="14" t="inlineStr">
        <is>
          <t>29.06.2026</t>
        </is>
      </c>
      <c r="I45" s="18" t="n">
        <v>100</v>
      </c>
      <c r="J45" s="18" t="inlineStr">
        <is>
          <t>Nu</t>
        </is>
      </c>
      <c r="K45" s="15" t="inlineStr">
        <is>
          <t>Dep: ACT-038 | CUI diagnostic cu API ANAF integrat</t>
        </is>
      </c>
      <c r="L45" s="15" t="n"/>
      <c r="M45" t="inlineStr">
        <is>
          <t>Da</t>
        </is>
      </c>
    </row>
    <row r="46" ht="18" customHeight="1" s="50">
      <c r="A46" s="12" t="inlineStr">
        <is>
          <t>ACT-040</t>
        </is>
      </c>
      <c r="B46" s="13" t="inlineStr">
        <is>
          <t>WS03</t>
        </is>
      </c>
      <c r="C46" s="19" t="inlineStr">
        <is>
          <t>Site lead magnet 1ExitBiz.RO</t>
        </is>
      </c>
      <c r="D46" s="20" t="inlineStr">
        <is>
          <t>SEO meta si schema FAQ</t>
        </is>
      </c>
      <c r="E46" s="19" t="inlineStr">
        <is>
          <t>Mihai</t>
        </is>
      </c>
      <c r="F46" s="21" t="inlineStr">
        <is>
          <t>P1</t>
        </is>
      </c>
      <c r="G46" s="17" t="inlineStr">
        <is>
          <t>Finalizat</t>
        </is>
      </c>
      <c r="H46" s="19" t="inlineStr">
        <is>
          <t>05.07.2026</t>
        </is>
      </c>
      <c r="I46" s="13" t="n">
        <v>100</v>
      </c>
      <c r="J46" s="13" t="inlineStr">
        <is>
          <t>Nu</t>
        </is>
      </c>
      <c r="K46" s="20" t="inlineStr">
        <is>
          <t>sitemap.xml + robots.txt + meta tags</t>
        </is>
      </c>
      <c r="L46" s="20" t="n"/>
      <c r="M46" t="inlineStr">
        <is>
          <t>Da</t>
        </is>
      </c>
    </row>
    <row r="47" ht="18" customHeight="1" s="50">
      <c r="A47" s="12" t="inlineStr">
        <is>
          <t>ACT-041</t>
        </is>
      </c>
      <c r="B47" s="13" t="inlineStr">
        <is>
          <t>WS03</t>
        </is>
      </c>
      <c r="C47" s="14" t="inlineStr">
        <is>
          <t>Site lead magnet 1ExitBiz.RO</t>
        </is>
      </c>
      <c r="D47" s="15" t="inlineStr">
        <is>
          <t>Copy CTA si trust blocks</t>
        </is>
      </c>
      <c r="E47" s="14" t="inlineStr">
        <is>
          <t>Mihai</t>
        </is>
      </c>
      <c r="F47" s="21" t="inlineStr">
        <is>
          <t>P1</t>
        </is>
      </c>
      <c r="G47" s="17" t="inlineStr">
        <is>
          <t>In lucru</t>
        </is>
      </c>
      <c r="H47" s="14" t="inlineStr">
        <is>
          <t>05.07.2026</t>
        </is>
      </c>
      <c r="I47" s="18" t="n">
        <v>60</v>
      </c>
      <c r="J47" s="18" t="inlineStr">
        <is>
          <t>Nu</t>
        </is>
      </c>
      <c r="K47" s="15" t="inlineStr">
        <is>
          <t>CTAs si trust blocks pe site, copy final pending</t>
        </is>
      </c>
      <c r="L47" s="15" t="n"/>
      <c r="M47" t="inlineStr">
        <is>
          <t>Da</t>
        </is>
      </c>
    </row>
    <row r="48" ht="18" customHeight="1" s="50">
      <c r="A48" s="12" t="inlineStr">
        <is>
          <t>ACT-042</t>
        </is>
      </c>
      <c r="B48" s="13" t="inlineStr">
        <is>
          <t>WS03</t>
        </is>
      </c>
      <c r="C48" s="19" t="inlineStr">
        <is>
          <t>Site lead magnet 1ExitBiz.RO</t>
        </is>
      </c>
      <c r="D48" s="20" t="inlineStr">
        <is>
          <t>Politica privacy/cookies</t>
        </is>
      </c>
      <c r="E48" s="19" t="inlineStr">
        <is>
          <t>Mihai</t>
        </is>
      </c>
      <c r="F48" s="21" t="inlineStr">
        <is>
          <t>P1</t>
        </is>
      </c>
      <c r="G48" s="17" t="inlineStr">
        <is>
          <t>Finalizat</t>
        </is>
      </c>
      <c r="H48" s="19" t="inlineStr">
        <is>
          <t>07.07.2026</t>
        </is>
      </c>
      <c r="I48" s="13" t="n">
        <v>100</v>
      </c>
      <c r="J48" s="13" t="inlineStr">
        <is>
          <t>Nu</t>
        </is>
      </c>
      <c r="K48" s="20" t="inlineStr">
        <is>
          <t>Dep: ACT-041 | termeni, confidentialitate, gdpr, cookies - toate live</t>
        </is>
      </c>
      <c r="L48" s="20" t="n"/>
      <c r="M48" t="inlineStr">
        <is>
          <t>Da</t>
        </is>
      </c>
    </row>
    <row r="49" ht="18" customHeight="1" s="50">
      <c r="A49" s="12" t="inlineStr">
        <is>
          <t>ACT-043</t>
        </is>
      </c>
      <c r="B49" s="13" t="inlineStr">
        <is>
          <t>WS03</t>
        </is>
      </c>
      <c r="C49" s="14" t="inlineStr">
        <is>
          <t>Site lead magnet 1ExitBiz.RO</t>
        </is>
      </c>
      <c r="D49" s="15" t="inlineStr">
        <is>
          <t>Implementare frontend Next.js/React</t>
        </is>
      </c>
      <c r="E49" s="14" t="inlineStr">
        <is>
          <t>Mihai</t>
        </is>
      </c>
      <c r="F49" s="22" t="inlineStr">
        <is>
          <t>P2</t>
        </is>
      </c>
      <c r="G49" s="17" t="inlineStr">
        <is>
          <t>Finalizat</t>
        </is>
      </c>
      <c r="H49" s="14" t="inlineStr">
        <is>
          <t>10.07.2026</t>
        </is>
      </c>
      <c r="I49" s="18" t="n">
        <v>100</v>
      </c>
      <c r="J49" s="18" t="inlineStr">
        <is>
          <t>Nu</t>
        </is>
      </c>
      <c r="K49" s="15" t="inlineStr">
        <is>
          <t>HTML/CSS/JS vanilla cu Netlify — deployed</t>
        </is>
      </c>
      <c r="L49" s="15" t="n"/>
      <c r="M49" t="inlineStr">
        <is>
          <t>Da</t>
        </is>
      </c>
    </row>
    <row r="50" ht="18" customHeight="1" s="50">
      <c r="A50" s="12" t="inlineStr">
        <is>
          <t>ACT-044</t>
        </is>
      </c>
      <c r="B50" s="13" t="inlineStr">
        <is>
          <t>WS03</t>
        </is>
      </c>
      <c r="C50" s="19" t="inlineStr">
        <is>
          <t>Site lead magnet 1ExitBiz.RO</t>
        </is>
      </c>
      <c r="D50" s="20" t="inlineStr">
        <is>
          <t>Integrare formular cu CRM/DB</t>
        </is>
      </c>
      <c r="E50" s="19" t="inlineStr">
        <is>
          <t>Mihai</t>
        </is>
      </c>
      <c r="F50" s="22" t="inlineStr">
        <is>
          <t>P2</t>
        </is>
      </c>
      <c r="G50" s="17" t="inlineStr">
        <is>
          <t>Finalizat</t>
        </is>
      </c>
      <c r="H50" s="19" t="inlineStr">
        <is>
          <t>12.07.2026</t>
        </is>
      </c>
      <c r="I50" s="13" t="n">
        <v>100</v>
      </c>
      <c r="J50" s="13" t="inlineStr">
        <is>
          <t>Nu</t>
        </is>
      </c>
      <c r="K50" s="20" t="inlineStr">
        <is>
          <t>Formulare conectate Supabase + email notifications</t>
        </is>
      </c>
      <c r="L50" s="20" t="n"/>
      <c r="M50" t="inlineStr">
        <is>
          <t>Da</t>
        </is>
      </c>
    </row>
    <row r="51" ht="18" customHeight="1" s="50">
      <c r="A51" s="12" t="inlineStr">
        <is>
          <t>ACT-045</t>
        </is>
      </c>
      <c r="B51" s="13" t="inlineStr">
        <is>
          <t>WS03</t>
        </is>
      </c>
      <c r="C51" s="14" t="inlineStr">
        <is>
          <t>Site lead magnet 1ExitBiz.RO</t>
        </is>
      </c>
      <c r="D51" s="15" t="inlineStr">
        <is>
          <t>Publicare site v1</t>
        </is>
      </c>
      <c r="E51" s="14" t="inlineStr">
        <is>
          <t>Mihai</t>
        </is>
      </c>
      <c r="F51" s="22" t="inlineStr">
        <is>
          <t>P2</t>
        </is>
      </c>
      <c r="G51" s="17" t="inlineStr">
        <is>
          <t>Finalizat</t>
        </is>
      </c>
      <c r="H51" s="14" t="inlineStr">
        <is>
          <t>14.07.2026</t>
        </is>
      </c>
      <c r="I51" s="18" t="n">
        <v>100</v>
      </c>
      <c r="J51" s="18" t="inlineStr">
        <is>
          <t>Nu</t>
        </is>
      </c>
      <c r="K51" s="15" t="inlineStr">
        <is>
          <t>Dep: ACT-044 | exitbiz.netlify.app live</t>
        </is>
      </c>
      <c r="L51" s="15" t="n"/>
      <c r="M51" t="inlineStr">
        <is>
          <t>Da</t>
        </is>
      </c>
    </row>
    <row r="52" ht="18" customHeight="1" s="50">
      <c r="A52" s="12" t="inlineStr">
        <is>
          <t>ACT-046</t>
        </is>
      </c>
      <c r="B52" s="13" t="inlineStr">
        <is>
          <t>WS04</t>
        </is>
      </c>
      <c r="C52" s="19" t="inlineStr">
        <is>
          <t>Diagnostic initial si scoring dosar</t>
        </is>
      </c>
      <c r="D52" s="20" t="inlineStr">
        <is>
          <t>Model intrebari diagnostic (12-20)</t>
        </is>
      </c>
      <c r="E52" s="19" t="inlineStr">
        <is>
          <t>Mihai</t>
        </is>
      </c>
      <c r="F52" s="21" t="inlineStr">
        <is>
          <t>P1</t>
        </is>
      </c>
      <c r="G52" s="17" t="inlineStr">
        <is>
          <t>Neinceput</t>
        </is>
      </c>
      <c r="H52" s="19" t="inlineStr">
        <is>
          <t>15.06.2026</t>
        </is>
      </c>
      <c r="I52" s="13" t="n">
        <v>0</v>
      </c>
      <c r="J52" s="13" t="inlineStr">
        <is>
          <t>Nu</t>
        </is>
      </c>
      <c r="K52" s="20" t="n"/>
      <c r="L52" s="20" t="n"/>
      <c r="M52" t="inlineStr">
        <is>
          <t>Da</t>
        </is>
      </c>
    </row>
    <row r="53" ht="18" customHeight="1" s="50">
      <c r="A53" s="12" t="inlineStr">
        <is>
          <t>ACT-047</t>
        </is>
      </c>
      <c r="B53" s="13" t="inlineStr">
        <is>
          <t>WS04</t>
        </is>
      </c>
      <c r="C53" s="14" t="inlineStr">
        <is>
          <t>Diagnostic initial si scoring dosar</t>
        </is>
      </c>
      <c r="D53" s="15" t="inlineStr">
        <is>
          <t>Scoring dosar PFA/SRL</t>
        </is>
      </c>
      <c r="E53" s="14" t="inlineStr">
        <is>
          <t>Mihai</t>
        </is>
      </c>
      <c r="F53" s="21" t="inlineStr">
        <is>
          <t>P1</t>
        </is>
      </c>
      <c r="G53" s="17" t="inlineStr">
        <is>
          <t>Neinceput</t>
        </is>
      </c>
      <c r="H53" s="14" t="inlineStr">
        <is>
          <t>17.06.2026</t>
        </is>
      </c>
      <c r="I53" s="18" t="n">
        <v>0</v>
      </c>
      <c r="J53" s="18" t="inlineStr">
        <is>
          <t>Nu</t>
        </is>
      </c>
      <c r="K53" s="15" t="n"/>
      <c r="L53" s="15" t="n"/>
      <c r="M53" t="inlineStr">
        <is>
          <t>Da</t>
        </is>
      </c>
    </row>
    <row r="54" ht="18" customHeight="1" s="50">
      <c r="A54" s="12" t="inlineStr">
        <is>
          <t>ACT-048</t>
        </is>
      </c>
      <c r="B54" s="13" t="inlineStr">
        <is>
          <t>WS04</t>
        </is>
      </c>
      <c r="C54" s="19" t="inlineStr">
        <is>
          <t>Diagnostic initial si scoring dosar</t>
        </is>
      </c>
      <c r="D54" s="20" t="inlineStr">
        <is>
          <t>Reguli de risc (datorii, TVA, etc.)</t>
        </is>
      </c>
      <c r="E54" s="19" t="inlineStr">
        <is>
          <t>Mihai</t>
        </is>
      </c>
      <c r="F54" s="21" t="inlineStr">
        <is>
          <t>P1</t>
        </is>
      </c>
      <c r="G54" s="17" t="inlineStr">
        <is>
          <t>Neinceput</t>
        </is>
      </c>
      <c r="H54" s="19" t="inlineStr">
        <is>
          <t>22.06.2026</t>
        </is>
      </c>
      <c r="I54" s="13" t="n">
        <v>0</v>
      </c>
      <c r="J54" s="13" t="inlineStr">
        <is>
          <t>Nu</t>
        </is>
      </c>
      <c r="K54" s="20" t="inlineStr">
        <is>
          <t>Dep: ACT-047</t>
        </is>
      </c>
      <c r="L54" s="20" t="n"/>
      <c r="M54" t="inlineStr">
        <is>
          <t>Da</t>
        </is>
      </c>
    </row>
    <row r="55" ht="18" customHeight="1" s="50">
      <c r="A55" s="12" t="inlineStr">
        <is>
          <t>ACT-049</t>
        </is>
      </c>
      <c r="B55" s="13" t="inlineStr">
        <is>
          <t>WS04</t>
        </is>
      </c>
      <c r="C55" s="14" t="inlineStr">
        <is>
          <t>Diagnostic initial si scoring dosar</t>
        </is>
      </c>
      <c r="D55" s="15" t="inlineStr">
        <is>
          <t>UX formular public (multi-step)</t>
        </is>
      </c>
      <c r="E55" s="14" t="inlineStr">
        <is>
          <t>Mihai</t>
        </is>
      </c>
      <c r="F55" s="21" t="inlineStr">
        <is>
          <t>P1</t>
        </is>
      </c>
      <c r="G55" s="17" t="inlineStr">
        <is>
          <t>Neinceput</t>
        </is>
      </c>
      <c r="H55" s="14" t="inlineStr">
        <is>
          <t>25.06.2026</t>
        </is>
      </c>
      <c r="I55" s="18" t="n">
        <v>0</v>
      </c>
      <c r="J55" s="18" t="inlineStr">
        <is>
          <t>Nu</t>
        </is>
      </c>
      <c r="K55" s="15" t="n"/>
      <c r="L55" s="15" t="n"/>
      <c r="M55" t="inlineStr">
        <is>
          <t>Da</t>
        </is>
      </c>
    </row>
    <row r="56" ht="18" customHeight="1" s="50">
      <c r="A56" s="12" t="inlineStr">
        <is>
          <t>ACT-050</t>
        </is>
      </c>
      <c r="B56" s="13" t="inlineStr">
        <is>
          <t>WS04</t>
        </is>
      </c>
      <c r="C56" s="19" t="inlineStr">
        <is>
          <t>Diagnostic initial si scoring dosar</t>
        </is>
      </c>
      <c r="D56" s="20" t="inlineStr">
        <is>
          <t>UX formular intern (operator)</t>
        </is>
      </c>
      <c r="E56" s="19" t="inlineStr">
        <is>
          <t>Mihai</t>
        </is>
      </c>
      <c r="F56" s="21" t="inlineStr">
        <is>
          <t>P1</t>
        </is>
      </c>
      <c r="G56" s="17" t="inlineStr">
        <is>
          <t>Neinceput</t>
        </is>
      </c>
      <c r="H56" s="19" t="inlineStr">
        <is>
          <t>29.06.2026</t>
        </is>
      </c>
      <c r="I56" s="13" t="n">
        <v>0</v>
      </c>
      <c r="J56" s="13" t="inlineStr">
        <is>
          <t>Nu</t>
        </is>
      </c>
      <c r="K56" s="20" t="n"/>
      <c r="L56" s="20" t="n"/>
      <c r="M56" t="inlineStr">
        <is>
          <t>Da</t>
        </is>
      </c>
    </row>
    <row r="57" ht="18" customHeight="1" s="50">
      <c r="A57" s="12" t="inlineStr">
        <is>
          <t>ACT-051</t>
        </is>
      </c>
      <c r="B57" s="13" t="inlineStr">
        <is>
          <t>WS04</t>
        </is>
      </c>
      <c r="C57" s="14" t="inlineStr">
        <is>
          <t>Diagnostic initial si scoring dosar</t>
        </is>
      </c>
      <c r="D57" s="15" t="inlineStr">
        <is>
          <t>Campuri lead (CUI, email, urgenta)</t>
        </is>
      </c>
      <c r="E57" s="14" t="inlineStr">
        <is>
          <t>Mihai</t>
        </is>
      </c>
      <c r="F57" s="21" t="inlineStr">
        <is>
          <t>P1</t>
        </is>
      </c>
      <c r="G57" s="17" t="inlineStr">
        <is>
          <t>Finalizat</t>
        </is>
      </c>
      <c r="H57" s="14" t="inlineStr">
        <is>
          <t>29.06.2026</t>
        </is>
      </c>
      <c r="I57" s="18" t="n">
        <v>100</v>
      </c>
      <c r="J57" s="18" t="inlineStr">
        <is>
          <t>Nu</t>
        </is>
      </c>
      <c r="K57" s="15" t="inlineStr">
        <is>
          <t>Dep: ACT-050 | Campuri lead in formular + salvare Supabase</t>
        </is>
      </c>
      <c r="L57" s="15" t="n"/>
      <c r="M57" t="inlineStr">
        <is>
          <t>Da</t>
        </is>
      </c>
    </row>
    <row r="58" ht="18" customHeight="1" s="50">
      <c r="A58" s="12" t="inlineStr">
        <is>
          <t>ACT-052</t>
        </is>
      </c>
      <c r="B58" s="13" t="inlineStr">
        <is>
          <t>WS04</t>
        </is>
      </c>
      <c r="C58" s="19" t="inlineStr">
        <is>
          <t>Diagnostic initial si scoring dosar</t>
        </is>
      </c>
      <c r="D58" s="20" t="inlineStr">
        <is>
          <t>Validare CUI prin API</t>
        </is>
      </c>
      <c r="E58" s="19" t="inlineStr">
        <is>
          <t>Mihai</t>
        </is>
      </c>
      <c r="F58" s="21" t="inlineStr">
        <is>
          <t>P1</t>
        </is>
      </c>
      <c r="G58" s="17" t="inlineStr">
        <is>
          <t>Finalizat</t>
        </is>
      </c>
      <c r="H58" s="19" t="inlineStr">
        <is>
          <t>02.07.2026</t>
        </is>
      </c>
      <c r="I58" s="13" t="n">
        <v>100</v>
      </c>
      <c r="J58" s="13" t="inlineStr">
        <is>
          <t>Nu</t>
        </is>
      </c>
      <c r="K58" s="20" t="inlineStr">
        <is>
          <t>API ANAF integrat via Netlify Function</t>
        </is>
      </c>
      <c r="L58" s="20" t="n"/>
      <c r="M58" t="inlineStr">
        <is>
          <t>Da</t>
        </is>
      </c>
    </row>
    <row r="59" ht="18" customHeight="1" s="50">
      <c r="A59" s="12" t="inlineStr">
        <is>
          <t>ACT-053</t>
        </is>
      </c>
      <c r="B59" s="13" t="inlineStr">
        <is>
          <t>WS04</t>
        </is>
      </c>
      <c r="C59" s="14" t="inlineStr">
        <is>
          <t>Diagnostic initial si scoring dosar</t>
        </is>
      </c>
      <c r="D59" s="15" t="inlineStr">
        <is>
          <t>Rezultat diagnostic + CTA</t>
        </is>
      </c>
      <c r="E59" s="14" t="inlineStr">
        <is>
          <t>Mihai</t>
        </is>
      </c>
      <c r="F59" s="21" t="inlineStr">
        <is>
          <t>P1</t>
        </is>
      </c>
      <c r="G59" s="17" t="inlineStr">
        <is>
          <t>Neinceput</t>
        </is>
      </c>
      <c r="H59" s="14" t="inlineStr">
        <is>
          <t>05.07.2026</t>
        </is>
      </c>
      <c r="I59" s="18" t="n">
        <v>0</v>
      </c>
      <c r="J59" s="18" t="inlineStr">
        <is>
          <t>Nu</t>
        </is>
      </c>
      <c r="K59" s="15" t="n"/>
      <c r="L59" s="15" t="n"/>
      <c r="M59" t="inlineStr">
        <is>
          <t>Da</t>
        </is>
      </c>
    </row>
    <row r="60" ht="18" customHeight="1" s="50">
      <c r="A60" s="12" t="inlineStr">
        <is>
          <t>ACT-054</t>
        </is>
      </c>
      <c r="B60" s="13" t="inlineStr">
        <is>
          <t>WS04</t>
        </is>
      </c>
      <c r="C60" s="19" t="inlineStr">
        <is>
          <t>Diagnostic initial si scoring dosar</t>
        </is>
      </c>
      <c r="D60" s="20" t="inlineStr">
        <is>
          <t>Creare dosar din diagnostic</t>
        </is>
      </c>
      <c r="E60" s="19" t="inlineStr">
        <is>
          <t>Mihai</t>
        </is>
      </c>
      <c r="F60" s="21" t="inlineStr">
        <is>
          <t>P1</t>
        </is>
      </c>
      <c r="G60" s="17" t="inlineStr">
        <is>
          <t>Neinceput</t>
        </is>
      </c>
      <c r="H60" s="19" t="inlineStr">
        <is>
          <t>07.07.2026</t>
        </is>
      </c>
      <c r="I60" s="13" t="n">
        <v>0</v>
      </c>
      <c r="J60" s="13" t="inlineStr">
        <is>
          <t>Nu</t>
        </is>
      </c>
      <c r="K60" s="20" t="inlineStr">
        <is>
          <t>Dep: ACT-053</t>
        </is>
      </c>
      <c r="L60" s="20" t="n"/>
      <c r="M60" t="inlineStr">
        <is>
          <t>Da</t>
        </is>
      </c>
    </row>
    <row r="61" ht="18" customHeight="1" s="50">
      <c r="A61" s="12" t="inlineStr">
        <is>
          <t>ACT-055</t>
        </is>
      </c>
      <c r="B61" s="13" t="inlineStr">
        <is>
          <t>WS04</t>
        </is>
      </c>
      <c r="C61" s="14" t="inlineStr">
        <is>
          <t>Diagnostic initial si scoring dosar</t>
        </is>
      </c>
      <c r="D61" s="15" t="inlineStr">
        <is>
          <t>Atribuire procedura preliminara</t>
        </is>
      </c>
      <c r="E61" s="14" t="inlineStr">
        <is>
          <t>Mihai</t>
        </is>
      </c>
      <c r="F61" s="21" t="inlineStr">
        <is>
          <t>P1</t>
        </is>
      </c>
      <c r="G61" s="17" t="inlineStr">
        <is>
          <t>Neinceput</t>
        </is>
      </c>
      <c r="H61" s="14" t="inlineStr">
        <is>
          <t>12.07.2026</t>
        </is>
      </c>
      <c r="I61" s="18" t="n">
        <v>0</v>
      </c>
      <c r="J61" s="18" t="inlineStr">
        <is>
          <t>Nu</t>
        </is>
      </c>
      <c r="K61" s="15" t="n"/>
      <c r="L61" s="15" t="n"/>
      <c r="M61" t="inlineStr">
        <is>
          <t>Da</t>
        </is>
      </c>
    </row>
    <row r="62" ht="18" customHeight="1" s="50">
      <c r="A62" s="12" t="inlineStr">
        <is>
          <t>ACT-056</t>
        </is>
      </c>
      <c r="B62" s="13" t="inlineStr">
        <is>
          <t>WS04</t>
        </is>
      </c>
      <c r="C62" s="19" t="inlineStr">
        <is>
          <t>Diagnostic initial si scoring dosar</t>
        </is>
      </c>
      <c r="D62" s="20" t="inlineStr">
        <is>
          <t>Checklist initial automat din raspunsuri</t>
        </is>
      </c>
      <c r="E62" s="19" t="inlineStr">
        <is>
          <t>Mihai</t>
        </is>
      </c>
      <c r="F62" s="21" t="inlineStr">
        <is>
          <t>P1</t>
        </is>
      </c>
      <c r="G62" s="17" t="inlineStr">
        <is>
          <t>Neinceput</t>
        </is>
      </c>
      <c r="H62" s="19" t="inlineStr">
        <is>
          <t>12.07.2026</t>
        </is>
      </c>
      <c r="I62" s="13" t="n">
        <v>0</v>
      </c>
      <c r="J62" s="13" t="inlineStr">
        <is>
          <t>Nu</t>
        </is>
      </c>
      <c r="K62" s="20" t="n"/>
      <c r="L62" s="20" t="n"/>
      <c r="M62" t="inlineStr">
        <is>
          <t>Da</t>
        </is>
      </c>
    </row>
    <row r="63" ht="18" customHeight="1" s="50">
      <c r="A63" s="12" t="inlineStr">
        <is>
          <t>ACT-057</t>
        </is>
      </c>
      <c r="B63" s="13" t="inlineStr">
        <is>
          <t>WS04</t>
        </is>
      </c>
      <c r="C63" s="14" t="inlineStr">
        <is>
          <t>Diagnostic initial si scoring dosar</t>
        </is>
      </c>
      <c r="D63" s="15" t="inlineStr">
        <is>
          <t>Evenimente analytics (start/abandon/submit)</t>
        </is>
      </c>
      <c r="E63" s="14" t="inlineStr">
        <is>
          <t>Mihai</t>
        </is>
      </c>
      <c r="F63" s="21" t="inlineStr">
        <is>
          <t>P1</t>
        </is>
      </c>
      <c r="G63" s="17" t="inlineStr">
        <is>
          <t>Neinceput</t>
        </is>
      </c>
      <c r="H63" s="14" t="inlineStr">
        <is>
          <t>14.07.2026</t>
        </is>
      </c>
      <c r="I63" s="18" t="n">
        <v>0</v>
      </c>
      <c r="J63" s="18" t="inlineStr">
        <is>
          <t>Nu</t>
        </is>
      </c>
      <c r="K63" s="15" t="inlineStr">
        <is>
          <t>Dep: ACT-056</t>
        </is>
      </c>
      <c r="L63" s="15" t="n"/>
      <c r="M63" t="inlineStr">
        <is>
          <t>Nu</t>
        </is>
      </c>
    </row>
    <row r="64" ht="18" customHeight="1" s="50">
      <c r="A64" s="12" t="inlineStr">
        <is>
          <t>ACT-058</t>
        </is>
      </c>
      <c r="B64" s="13" t="inlineStr">
        <is>
          <t>WS04</t>
        </is>
      </c>
      <c r="C64" s="19" t="inlineStr">
        <is>
          <t>Diagnostic initial si scoring dosar</t>
        </is>
      </c>
      <c r="D64" s="20" t="inlineStr">
        <is>
          <t>Notificari interne la lead important</t>
        </is>
      </c>
      <c r="E64" s="19" t="inlineStr">
        <is>
          <t>Mihai</t>
        </is>
      </c>
      <c r="F64" s="22" t="inlineStr">
        <is>
          <t>P2</t>
        </is>
      </c>
      <c r="G64" s="17" t="inlineStr">
        <is>
          <t>Neinceput</t>
        </is>
      </c>
      <c r="H64" s="19" t="inlineStr">
        <is>
          <t>17.07.2026</t>
        </is>
      </c>
      <c r="I64" s="13" t="n">
        <v>0</v>
      </c>
      <c r="J64" s="13" t="inlineStr">
        <is>
          <t>Nu</t>
        </is>
      </c>
      <c r="K64" s="20" t="n"/>
      <c r="L64" s="20" t="n"/>
      <c r="M64" t="inlineStr">
        <is>
          <t>Nu</t>
        </is>
      </c>
    </row>
    <row r="65" ht="18" customHeight="1" s="50">
      <c r="A65" s="12" t="inlineStr">
        <is>
          <t>ACT-059</t>
        </is>
      </c>
      <c r="B65" s="13" t="inlineStr">
        <is>
          <t>WS04</t>
        </is>
      </c>
      <c r="C65" s="14" t="inlineStr">
        <is>
          <t>Diagnostic initial si scoring dosar</t>
        </is>
      </c>
      <c r="D65" s="15" t="inlineStr">
        <is>
          <t>Testare formular (PFA, SRL, SRL risc)</t>
        </is>
      </c>
      <c r="E65" s="14" t="inlineStr">
        <is>
          <t>Mihai</t>
        </is>
      </c>
      <c r="F65" s="22" t="inlineStr">
        <is>
          <t>P2</t>
        </is>
      </c>
      <c r="G65" s="17" t="inlineStr">
        <is>
          <t>Neinceput</t>
        </is>
      </c>
      <c r="H65" s="14" t="inlineStr">
        <is>
          <t>19.07.2026</t>
        </is>
      </c>
      <c r="I65" s="18" t="n">
        <v>0</v>
      </c>
      <c r="J65" s="18" t="inlineStr">
        <is>
          <t>Nu</t>
        </is>
      </c>
      <c r="K65" s="15" t="n"/>
      <c r="L65" s="15" t="n"/>
      <c r="M65" t="inlineStr">
        <is>
          <t>Nu</t>
        </is>
      </c>
    </row>
    <row r="66" ht="18" customHeight="1" s="50">
      <c r="A66" s="12" t="inlineStr">
        <is>
          <t>ACT-060</t>
        </is>
      </c>
      <c r="B66" s="13" t="inlineStr">
        <is>
          <t>WS04</t>
        </is>
      </c>
      <c r="C66" s="19" t="inlineStr">
        <is>
          <t>Diagnostic initial si scoring dosar</t>
        </is>
      </c>
      <c r="D66" s="20" t="inlineStr">
        <is>
          <t>Lansare diagnostic v1</t>
        </is>
      </c>
      <c r="E66" s="19" t="inlineStr">
        <is>
          <t>Mihai</t>
        </is>
      </c>
      <c r="F66" s="22" t="inlineStr">
        <is>
          <t>P2</t>
        </is>
      </c>
      <c r="G66" s="17" t="inlineStr">
        <is>
          <t>Neinceput</t>
        </is>
      </c>
      <c r="H66" s="19" t="inlineStr">
        <is>
          <t>21.07.2026</t>
        </is>
      </c>
      <c r="I66" s="13" t="n">
        <v>0</v>
      </c>
      <c r="J66" s="13" t="inlineStr">
        <is>
          <t>Nu</t>
        </is>
      </c>
      <c r="K66" s="20" t="inlineStr">
        <is>
          <t>Dep: ACT-059</t>
        </is>
      </c>
      <c r="L66" s="20" t="n"/>
      <c r="M66" t="inlineStr">
        <is>
          <t>Nu</t>
        </is>
      </c>
    </row>
    <row r="67" ht="18" customHeight="1" s="50">
      <c r="A67" s="12" t="inlineStr">
        <is>
          <t>ACT-061</t>
        </is>
      </c>
      <c r="B67" s="13" t="inlineStr">
        <is>
          <t>WS05</t>
        </is>
      </c>
      <c r="C67" s="14" t="inlineStr">
        <is>
          <t>Dosar digital si case management</t>
        </is>
      </c>
      <c r="D67" s="15" t="inlineStr">
        <is>
          <t>Schema baza de date dosare (Supabase)</t>
        </is>
      </c>
      <c r="E67" s="14" t="inlineStr">
        <is>
          <t>Mihai</t>
        </is>
      </c>
      <c r="F67" s="16" t="inlineStr">
        <is>
          <t>P0</t>
        </is>
      </c>
      <c r="G67" s="17" t="inlineStr">
        <is>
          <t>Finalizat</t>
        </is>
      </c>
      <c r="H67" s="14" t="inlineStr">
        <is>
          <t>22.06.2026</t>
        </is>
      </c>
      <c r="I67" s="18" t="n">
        <v>100</v>
      </c>
      <c r="J67" s="18" t="inlineStr">
        <is>
          <t>Nu</t>
        </is>
      </c>
      <c r="K67" s="15" t="inlineStr">
        <is>
          <t>Schema Supabase: dosare, checklist_items, documents, tasks + RLS</t>
        </is>
      </c>
      <c r="L67" s="15" t="n"/>
      <c r="M67" t="inlineStr">
        <is>
          <t>Da</t>
        </is>
      </c>
    </row>
    <row r="68" ht="18" customHeight="1" s="50">
      <c r="A68" s="12" t="inlineStr">
        <is>
          <t>ACT-062</t>
        </is>
      </c>
      <c r="B68" s="13" t="inlineStr">
        <is>
          <t>WS05</t>
        </is>
      </c>
      <c r="C68" s="19" t="inlineStr">
        <is>
          <t>Dosar digital si case management</t>
        </is>
      </c>
      <c r="D68" s="20" t="inlineStr">
        <is>
          <t>Model fisa dosar</t>
        </is>
      </c>
      <c r="E68" s="19" t="inlineStr">
        <is>
          <t>Mihai</t>
        </is>
      </c>
      <c r="F68" s="16" t="inlineStr">
        <is>
          <t>P0</t>
        </is>
      </c>
      <c r="G68" s="17" t="inlineStr">
        <is>
          <t>Finalizat</t>
        </is>
      </c>
      <c r="H68" s="19" t="inlineStr">
        <is>
          <t>25.06.2026</t>
        </is>
      </c>
      <c r="I68" s="13" t="n">
        <v>100</v>
      </c>
      <c r="J68" s="13" t="inlineStr">
        <is>
          <t>Nu</t>
        </is>
      </c>
      <c r="K68" s="20" t="inlineStr">
        <is>
          <t>Fisa dosar drawer in admin cu toate campurile</t>
        </is>
      </c>
      <c r="L68" s="20" t="n"/>
      <c r="M68" t="inlineStr">
        <is>
          <t>Da</t>
        </is>
      </c>
    </row>
    <row r="69" ht="18" customHeight="1" s="50">
      <c r="A69" s="12" t="inlineStr">
        <is>
          <t>ACT-063</t>
        </is>
      </c>
      <c r="B69" s="13" t="inlineStr">
        <is>
          <t>WS05</t>
        </is>
      </c>
      <c r="C69" s="14" t="inlineStr">
        <is>
          <t>Dosar digital si case management</t>
        </is>
      </c>
      <c r="D69" s="15" t="inlineStr">
        <is>
          <t>Upload documente (PDF/DOCX/JPG)</t>
        </is>
      </c>
      <c r="E69" s="14" t="inlineStr">
        <is>
          <t>Mihai</t>
        </is>
      </c>
      <c r="F69" s="16" t="inlineStr">
        <is>
          <t>P0</t>
        </is>
      </c>
      <c r="G69" s="17" t="inlineStr">
        <is>
          <t>In lucru</t>
        </is>
      </c>
      <c r="H69" s="14" t="inlineStr">
        <is>
          <t>29.06.2026</t>
        </is>
      </c>
      <c r="I69" s="18" t="n">
        <v>30</v>
      </c>
      <c r="J69" s="18" t="inlineStr">
        <is>
          <t>Nu</t>
        </is>
      </c>
      <c r="K69" s="15" t="inlineStr">
        <is>
          <t>Dep: ACT-062 | Schema DB + Storage bucket creat, UI de construit</t>
        </is>
      </c>
      <c r="L69" s="15" t="n"/>
      <c r="M69" t="inlineStr">
        <is>
          <t>Da</t>
        </is>
      </c>
    </row>
    <row r="70" ht="18" customHeight="1" s="50">
      <c r="A70" s="12" t="inlineStr">
        <is>
          <t>ACT-064</t>
        </is>
      </c>
      <c r="B70" s="13" t="inlineStr">
        <is>
          <t>WS05</t>
        </is>
      </c>
      <c r="C70" s="19" t="inlineStr">
        <is>
          <t>Dosar digital si case management</t>
        </is>
      </c>
      <c r="D70" s="20" t="inlineStr">
        <is>
          <t>Catalog documente</t>
        </is>
      </c>
      <c r="E70" s="19" t="inlineStr">
        <is>
          <t>Mihai</t>
        </is>
      </c>
      <c r="F70" s="16" t="inlineStr">
        <is>
          <t>P0</t>
        </is>
      </c>
      <c r="G70" s="17" t="inlineStr">
        <is>
          <t>Finalizat</t>
        </is>
      </c>
      <c r="H70" s="19" t="inlineStr">
        <is>
          <t>02.07.2026</t>
        </is>
      </c>
      <c r="I70" s="13" t="n">
        <v>100</v>
      </c>
      <c r="J70" s="13" t="inlineStr">
        <is>
          <t>Nu</t>
        </is>
      </c>
      <c r="K70" s="20" t="inlineStr">
        <is>
          <t>checklist_templates cu 18 documente per serviciu</t>
        </is>
      </c>
      <c r="L70" s="20" t="n"/>
      <c r="M70" t="inlineStr">
        <is>
          <t>Da</t>
        </is>
      </c>
    </row>
    <row r="71" ht="18" customHeight="1" s="50">
      <c r="A71" s="12" t="inlineStr">
        <is>
          <t>ACT-065</t>
        </is>
      </c>
      <c r="B71" s="13" t="inlineStr">
        <is>
          <t>WS05</t>
        </is>
      </c>
      <c r="C71" s="14" t="inlineStr">
        <is>
          <t>Dosar digital si case management</t>
        </is>
      </c>
      <c r="D71" s="15" t="inlineStr">
        <is>
          <t>Documente lipsa (missing/received/verified)</t>
        </is>
      </c>
      <c r="E71" s="14" t="inlineStr">
        <is>
          <t>Mihai</t>
        </is>
      </c>
      <c r="F71" s="16" t="inlineStr">
        <is>
          <t>P0</t>
        </is>
      </c>
      <c r="G71" s="17" t="inlineStr">
        <is>
          <t>In lucru</t>
        </is>
      </c>
      <c r="H71" s="14" t="inlineStr">
        <is>
          <t>08.07.2026</t>
        </is>
      </c>
      <c r="I71" s="18" t="n">
        <v>40</v>
      </c>
      <c r="J71" s="18" t="inlineStr">
        <is>
          <t>Nu</t>
        </is>
      </c>
      <c r="K71" s="15" t="inlineStr">
        <is>
          <t>Schema checklist_items cu status, UI pending</t>
        </is>
      </c>
      <c r="L71" s="15" t="n"/>
      <c r="M71" t="inlineStr">
        <is>
          <t>Da</t>
        </is>
      </c>
    </row>
    <row r="72" ht="18" customHeight="1" s="50">
      <c r="A72" s="12" t="inlineStr">
        <is>
          <t>ACT-066</t>
        </is>
      </c>
      <c r="B72" s="13" t="inlineStr">
        <is>
          <t>WS05</t>
        </is>
      </c>
      <c r="C72" s="19" t="inlineStr">
        <is>
          <t>Dosar digital si case management</t>
        </is>
      </c>
      <c r="D72" s="20" t="inlineStr">
        <is>
          <t>Status dosar principal</t>
        </is>
      </c>
      <c r="E72" s="19" t="inlineStr">
        <is>
          <t>Mihai</t>
        </is>
      </c>
      <c r="F72" s="16" t="inlineStr">
        <is>
          <t>P0</t>
        </is>
      </c>
      <c r="G72" s="17" t="inlineStr">
        <is>
          <t>Finalizat</t>
        </is>
      </c>
      <c r="H72" s="19" t="inlineStr">
        <is>
          <t>09.07.2026</t>
        </is>
      </c>
      <c r="I72" s="13" t="n">
        <v>100</v>
      </c>
      <c r="J72" s="13" t="inlineStr">
        <is>
          <t>Nu</t>
        </is>
      </c>
      <c r="K72" s="20" t="inlineStr">
        <is>
          <t>Dep: ACT-065 | Pipeline 7 pasi: lead-&gt;diagnostic-&gt;analiza-&gt;documente-&gt;pregatire-&gt;depus-&gt;finalizat</t>
        </is>
      </c>
      <c r="L72" s="20" t="n"/>
      <c r="M72" t="inlineStr">
        <is>
          <t>Da</t>
        </is>
      </c>
    </row>
    <row r="73" ht="18" customHeight="1" s="50">
      <c r="A73" s="12" t="inlineStr">
        <is>
          <t>ACT-067</t>
        </is>
      </c>
      <c r="B73" s="13" t="inlineStr">
        <is>
          <t>WS05</t>
        </is>
      </c>
      <c r="C73" s="14" t="inlineStr">
        <is>
          <t>Dosar digital si case management</t>
        </is>
      </c>
      <c r="D73" s="15" t="inlineStr">
        <is>
          <t>Istoric actiuni / audit trail</t>
        </is>
      </c>
      <c r="E73" s="14" t="inlineStr">
        <is>
          <t>Mihai</t>
        </is>
      </c>
      <c r="F73" s="16" t="inlineStr">
        <is>
          <t>P0</t>
        </is>
      </c>
      <c r="G73" s="17" t="inlineStr">
        <is>
          <t>Neinceput</t>
        </is>
      </c>
      <c r="H73" s="14" t="inlineStr">
        <is>
          <t>12.07.2026</t>
        </is>
      </c>
      <c r="I73" s="18" t="n">
        <v>0</v>
      </c>
      <c r="J73" s="18" t="inlineStr">
        <is>
          <t>Nu</t>
        </is>
      </c>
      <c r="K73" s="15" t="n"/>
      <c r="L73" s="15" t="n"/>
      <c r="M73" t="inlineStr">
        <is>
          <t>Da</t>
        </is>
      </c>
    </row>
    <row r="74" ht="18" customHeight="1" s="50">
      <c r="A74" s="12" t="inlineStr">
        <is>
          <t>ACT-068</t>
        </is>
      </c>
      <c r="B74" s="13" t="inlineStr">
        <is>
          <t>WS05</t>
        </is>
      </c>
      <c r="C74" s="19" t="inlineStr">
        <is>
          <t>Dosar digital si case management</t>
        </is>
      </c>
      <c r="D74" s="20" t="inlineStr">
        <is>
          <t>Note interne operator</t>
        </is>
      </c>
      <c r="E74" s="19" t="inlineStr">
        <is>
          <t>Mihai</t>
        </is>
      </c>
      <c r="F74" s="16" t="inlineStr">
        <is>
          <t>P0</t>
        </is>
      </c>
      <c r="G74" s="17" t="inlineStr">
        <is>
          <t>Finalizat</t>
        </is>
      </c>
      <c r="H74" s="19" t="inlineStr">
        <is>
          <t>15.07.2026</t>
        </is>
      </c>
      <c r="I74" s="13" t="n">
        <v>100</v>
      </c>
      <c r="J74" s="13" t="inlineStr">
        <is>
          <t>Nu</t>
        </is>
      </c>
      <c r="K74" s="20" t="inlineStr">
        <is>
          <t>Camp notes in fisa dosar admin</t>
        </is>
      </c>
      <c r="L74" s="20" t="n"/>
      <c r="M74" t="inlineStr">
        <is>
          <t>Da</t>
        </is>
      </c>
    </row>
    <row r="75" ht="18" customHeight="1" s="50">
      <c r="A75" s="12" t="inlineStr">
        <is>
          <t>ACT-069</t>
        </is>
      </c>
      <c r="B75" s="13" t="inlineStr">
        <is>
          <t>WS05</t>
        </is>
      </c>
      <c r="C75" s="14" t="inlineStr">
        <is>
          <t>Dosar digital si case management</t>
        </is>
      </c>
      <c r="D75" s="15" t="inlineStr">
        <is>
          <t>Comentarii colaboratori (thread)</t>
        </is>
      </c>
      <c r="E75" s="14" t="inlineStr">
        <is>
          <t>Mihai</t>
        </is>
      </c>
      <c r="F75" s="21" t="inlineStr">
        <is>
          <t>P1</t>
        </is>
      </c>
      <c r="G75" s="17" t="inlineStr">
        <is>
          <t>Neinceput</t>
        </is>
      </c>
      <c r="H75" s="14" t="inlineStr">
        <is>
          <t>19.07.2026</t>
        </is>
      </c>
      <c r="I75" s="18" t="n">
        <v>0</v>
      </c>
      <c r="J75" s="18" t="inlineStr">
        <is>
          <t>Nu</t>
        </is>
      </c>
      <c r="K75" s="15" t="inlineStr">
        <is>
          <t>Dep: ACT-068</t>
        </is>
      </c>
      <c r="L75" s="15" t="n"/>
      <c r="M75" t="inlineStr">
        <is>
          <t>Nu</t>
        </is>
      </c>
    </row>
    <row r="76" ht="18" customHeight="1" s="50">
      <c r="A76" s="12" t="inlineStr">
        <is>
          <t>ACT-070</t>
        </is>
      </c>
      <c r="B76" s="13" t="inlineStr">
        <is>
          <t>WS05</t>
        </is>
      </c>
      <c r="C76" s="19" t="inlineStr">
        <is>
          <t>Dosar digital si case management</t>
        </is>
      </c>
      <c r="D76" s="20" t="inlineStr">
        <is>
          <t>Export raport dosar (PDF/DOCX)</t>
        </is>
      </c>
      <c r="E76" s="19" t="inlineStr">
        <is>
          <t>Mihai</t>
        </is>
      </c>
      <c r="F76" s="21" t="inlineStr">
        <is>
          <t>P1</t>
        </is>
      </c>
      <c r="G76" s="17" t="inlineStr">
        <is>
          <t>Neinceput</t>
        </is>
      </c>
      <c r="H76" s="19" t="inlineStr">
        <is>
          <t>24.07.2026</t>
        </is>
      </c>
      <c r="I76" s="13" t="n">
        <v>0</v>
      </c>
      <c r="J76" s="13" t="inlineStr">
        <is>
          <t>Nu</t>
        </is>
      </c>
      <c r="K76" s="20" t="n"/>
      <c r="L76" s="20" t="n"/>
      <c r="M76" t="inlineStr">
        <is>
          <t>Da</t>
        </is>
      </c>
    </row>
    <row r="77" ht="18" customHeight="1" s="50">
      <c r="A77" s="12" t="inlineStr">
        <is>
          <t>ACT-071</t>
        </is>
      </c>
      <c r="B77" s="13" t="inlineStr">
        <is>
          <t>WS05</t>
        </is>
      </c>
      <c r="C77" s="14" t="inlineStr">
        <is>
          <t>Dosar digital si case management</t>
        </is>
      </c>
      <c r="D77" s="15" t="inlineStr">
        <is>
          <t>Permisiuni dosar (RBAC)</t>
        </is>
      </c>
      <c r="E77" s="14" t="inlineStr">
        <is>
          <t>Mihai</t>
        </is>
      </c>
      <c r="F77" s="21" t="inlineStr">
        <is>
          <t>P1</t>
        </is>
      </c>
      <c r="G77" s="17" t="inlineStr">
        <is>
          <t>Neinceput</t>
        </is>
      </c>
      <c r="H77" s="14" t="inlineStr">
        <is>
          <t>25.07.2026</t>
        </is>
      </c>
      <c r="I77" s="18" t="n">
        <v>0</v>
      </c>
      <c r="J77" s="18" t="inlineStr">
        <is>
          <t>Nu</t>
        </is>
      </c>
      <c r="K77" s="15" t="n"/>
      <c r="L77" s="15" t="n"/>
      <c r="M77" t="inlineStr">
        <is>
          <t>Nu</t>
        </is>
      </c>
    </row>
    <row r="78" ht="18" customHeight="1" s="50">
      <c r="A78" s="12" t="inlineStr">
        <is>
          <t>ACT-072</t>
        </is>
      </c>
      <c r="B78" s="13" t="inlineStr">
        <is>
          <t>WS05</t>
        </is>
      </c>
      <c r="C78" s="19" t="inlineStr">
        <is>
          <t>Dosar digital si case management</t>
        </is>
      </c>
      <c r="D78" s="20" t="inlineStr">
        <is>
          <t>Search si filtre dosare</t>
        </is>
      </c>
      <c r="E78" s="19" t="inlineStr">
        <is>
          <t>Mihai</t>
        </is>
      </c>
      <c r="F78" s="21" t="inlineStr">
        <is>
          <t>P1</t>
        </is>
      </c>
      <c r="G78" s="17" t="inlineStr">
        <is>
          <t>Neinceput</t>
        </is>
      </c>
      <c r="H78" s="19" t="inlineStr">
        <is>
          <t>28.07.2026</t>
        </is>
      </c>
      <c r="I78" s="13" t="n">
        <v>0</v>
      </c>
      <c r="J78" s="13" t="inlineStr">
        <is>
          <t>Nu</t>
        </is>
      </c>
      <c r="K78" s="20" t="inlineStr">
        <is>
          <t>Dep: ACT-071</t>
        </is>
      </c>
      <c r="L78" s="20" t="n"/>
      <c r="M78" t="inlineStr">
        <is>
          <t>Nu</t>
        </is>
      </c>
    </row>
    <row r="79" ht="18" customHeight="1" s="50">
      <c r="A79" s="12" t="inlineStr">
        <is>
          <t>ACT-073</t>
        </is>
      </c>
      <c r="B79" s="13" t="inlineStr">
        <is>
          <t>WS05</t>
        </is>
      </c>
      <c r="C79" s="14" t="inlineStr">
        <is>
          <t>Dosar digital si case management</t>
        </is>
      </c>
      <c r="D79" s="15" t="inlineStr">
        <is>
          <t>Import manual dosar</t>
        </is>
      </c>
      <c r="E79" s="14" t="inlineStr">
        <is>
          <t>Mihai</t>
        </is>
      </c>
      <c r="F79" s="22" t="inlineStr">
        <is>
          <t>P2</t>
        </is>
      </c>
      <c r="G79" s="17" t="inlineStr">
        <is>
          <t>Neinceput</t>
        </is>
      </c>
      <c r="H79" s="14" t="inlineStr">
        <is>
          <t>01.08.2026</t>
        </is>
      </c>
      <c r="I79" s="18" t="n">
        <v>0</v>
      </c>
      <c r="J79" s="18" t="inlineStr">
        <is>
          <t>Nu</t>
        </is>
      </c>
      <c r="K79" s="15" t="n"/>
      <c r="L79" s="15" t="n"/>
      <c r="M79" t="inlineStr">
        <is>
          <t>Nu</t>
        </is>
      </c>
    </row>
    <row r="80" ht="18" customHeight="1" s="50">
      <c r="A80" s="12" t="inlineStr">
        <is>
          <t>ACT-074</t>
        </is>
      </c>
      <c r="B80" s="13" t="inlineStr">
        <is>
          <t>WS05</t>
        </is>
      </c>
      <c r="C80" s="19" t="inlineStr">
        <is>
          <t>Dosar digital si case management</t>
        </is>
      </c>
      <c r="D80" s="20" t="inlineStr">
        <is>
          <t>Testare cu 10 dosare demo</t>
        </is>
      </c>
      <c r="E80" s="19" t="inlineStr">
        <is>
          <t>Mihai</t>
        </is>
      </c>
      <c r="F80" s="22" t="inlineStr">
        <is>
          <t>P2</t>
        </is>
      </c>
      <c r="G80" s="17" t="inlineStr">
        <is>
          <t>Neinceput</t>
        </is>
      </c>
      <c r="H80" s="19" t="inlineStr">
        <is>
          <t>04.08.2026</t>
        </is>
      </c>
      <c r="I80" s="13" t="n">
        <v>0</v>
      </c>
      <c r="J80" s="13" t="inlineStr">
        <is>
          <t>Nu</t>
        </is>
      </c>
      <c r="K80" s="20" t="n"/>
      <c r="L80" s="20" t="n"/>
      <c r="M80" t="inlineStr">
        <is>
          <t>Nu</t>
        </is>
      </c>
    </row>
    <row r="81" ht="18" customHeight="1" s="50">
      <c r="A81" s="12" t="inlineStr">
        <is>
          <t>ACT-075</t>
        </is>
      </c>
      <c r="B81" s="13" t="inlineStr">
        <is>
          <t>WS05</t>
        </is>
      </c>
      <c r="C81" s="14" t="inlineStr">
        <is>
          <t>Dosar digital si case management</t>
        </is>
      </c>
      <c r="D81" s="15" t="inlineStr">
        <is>
          <t>Go-live dosar digital v1</t>
        </is>
      </c>
      <c r="E81" s="14" t="inlineStr">
        <is>
          <t>Mihai</t>
        </is>
      </c>
      <c r="F81" s="22" t="inlineStr">
        <is>
          <t>P2</t>
        </is>
      </c>
      <c r="G81" s="17" t="inlineStr">
        <is>
          <t>Neinceput</t>
        </is>
      </c>
      <c r="H81" s="14" t="inlineStr">
        <is>
          <t>07.08.2026</t>
        </is>
      </c>
      <c r="I81" s="18" t="n">
        <v>0</v>
      </c>
      <c r="J81" s="18" t="inlineStr">
        <is>
          <t>Nu</t>
        </is>
      </c>
      <c r="K81" s="15" t="inlineStr">
        <is>
          <t>Dep: ACT-074</t>
        </is>
      </c>
      <c r="L81" s="15" t="n"/>
      <c r="M81" t="inlineStr">
        <is>
          <t>Nu</t>
        </is>
      </c>
    </row>
    <row r="82" ht="18" customHeight="1" s="50">
      <c r="A82" s="12" t="inlineStr">
        <is>
          <t>ACT-076</t>
        </is>
      </c>
      <c r="B82" s="13" t="inlineStr">
        <is>
          <t>WS06</t>
        </is>
      </c>
      <c r="C82" s="19" t="inlineStr">
        <is>
          <t>Colaborare pe roluri si task management</t>
        </is>
      </c>
      <c r="D82" s="20" t="inlineStr">
        <is>
          <t>Definire roluri RBAC</t>
        </is>
      </c>
      <c r="E82" s="19" t="inlineStr">
        <is>
          <t>Mihai</t>
        </is>
      </c>
      <c r="F82" s="21" t="inlineStr">
        <is>
          <t>P1</t>
        </is>
      </c>
      <c r="G82" s="17" t="inlineStr">
        <is>
          <t>In lucru</t>
        </is>
      </c>
      <c r="H82" s="19" t="inlineStr">
        <is>
          <t>07.07.2026</t>
        </is>
      </c>
      <c r="I82" s="13" t="n">
        <v>50</v>
      </c>
      <c r="J82" s="13" t="inlineStr">
        <is>
          <t>Nu</t>
        </is>
      </c>
      <c r="K82" s="20" t="inlineStr">
        <is>
          <t>Roluri definite in DB, UI RBAC pending</t>
        </is>
      </c>
      <c r="L82" s="20" t="n"/>
      <c r="M82" t="inlineStr">
        <is>
          <t>Da</t>
        </is>
      </c>
    </row>
    <row r="83" ht="18" customHeight="1" s="50">
      <c r="A83" s="12" t="inlineStr">
        <is>
          <t>ACT-077</t>
        </is>
      </c>
      <c r="B83" s="13" t="inlineStr">
        <is>
          <t>WS06</t>
        </is>
      </c>
      <c r="C83" s="14" t="inlineStr">
        <is>
          <t>Colaborare pe roluri si task management</t>
        </is>
      </c>
      <c r="D83" s="15" t="inlineStr">
        <is>
          <t>Invitare colaboratori (email invite)</t>
        </is>
      </c>
      <c r="E83" s="14" t="inlineStr">
        <is>
          <t>Mihai</t>
        </is>
      </c>
      <c r="F83" s="21" t="inlineStr">
        <is>
          <t>P1</t>
        </is>
      </c>
      <c r="G83" s="17" t="inlineStr">
        <is>
          <t>Neinceput</t>
        </is>
      </c>
      <c r="H83" s="14" t="inlineStr">
        <is>
          <t>09.07.2026</t>
        </is>
      </c>
      <c r="I83" s="18" t="n">
        <v>0</v>
      </c>
      <c r="J83" s="18" t="inlineStr">
        <is>
          <t>Nu</t>
        </is>
      </c>
      <c r="K83" s="15" t="n"/>
      <c r="L83" s="15" t="n"/>
      <c r="M83" t="inlineStr">
        <is>
          <t>Da</t>
        </is>
      </c>
    </row>
    <row r="84" ht="18" customHeight="1" s="50">
      <c r="A84" s="12" t="inlineStr">
        <is>
          <t>ACT-078</t>
        </is>
      </c>
      <c r="B84" s="13" t="inlineStr">
        <is>
          <t>WS06</t>
        </is>
      </c>
      <c r="C84" s="19" t="inlineStr">
        <is>
          <t>Colaborare pe roluri si task management</t>
        </is>
      </c>
      <c r="D84" s="20" t="inlineStr">
        <is>
          <t>Taskuri pe rol (actiune/deadline/status)</t>
        </is>
      </c>
      <c r="E84" s="19" t="inlineStr">
        <is>
          <t>Mihai</t>
        </is>
      </c>
      <c r="F84" s="21" t="inlineStr">
        <is>
          <t>P1</t>
        </is>
      </c>
      <c r="G84" s="17" t="inlineStr">
        <is>
          <t>In lucru</t>
        </is>
      </c>
      <c r="H84" s="19" t="inlineStr">
        <is>
          <t>12.07.2026</t>
        </is>
      </c>
      <c r="I84" s="13" t="n">
        <v>35</v>
      </c>
      <c r="J84" s="13" t="inlineStr">
        <is>
          <t>Nu</t>
        </is>
      </c>
      <c r="K84" s="20" t="inlineStr">
        <is>
          <t>Dep: ACT-077 | Schema tasks cu deadline+rol, UI de construit</t>
        </is>
      </c>
      <c r="L84" s="20" t="n"/>
      <c r="M84" t="inlineStr">
        <is>
          <t>Da</t>
        </is>
      </c>
    </row>
    <row r="85" ht="18" customHeight="1" s="50">
      <c r="A85" s="12" t="inlineStr">
        <is>
          <t>ACT-079</t>
        </is>
      </c>
      <c r="B85" s="13" t="inlineStr">
        <is>
          <t>WS06</t>
        </is>
      </c>
      <c r="C85" s="14" t="inlineStr">
        <is>
          <t>Colaborare pe roluri si task management</t>
        </is>
      </c>
      <c r="D85" s="15" t="inlineStr">
        <is>
          <t>Dashboard rol client</t>
        </is>
      </c>
      <c r="E85" s="14" t="inlineStr">
        <is>
          <t>Mihai</t>
        </is>
      </c>
      <c r="F85" s="21" t="inlineStr">
        <is>
          <t>P1</t>
        </is>
      </c>
      <c r="G85" s="17" t="inlineStr">
        <is>
          <t>Finalizat</t>
        </is>
      </c>
      <c r="H85" s="14" t="inlineStr">
        <is>
          <t>15.07.2026</t>
        </is>
      </c>
      <c r="I85" s="18" t="n">
        <v>100</v>
      </c>
      <c r="J85" s="18" t="inlineStr">
        <is>
          <t>Nu</t>
        </is>
      </c>
      <c r="K85" s="15" t="inlineStr">
        <is>
          <t>dashboard.html cu timeline 7 pasi si status dosare</t>
        </is>
      </c>
      <c r="L85" s="15" t="n"/>
      <c r="M85" t="inlineStr">
        <is>
          <t>Da</t>
        </is>
      </c>
    </row>
    <row r="86" ht="18" customHeight="1" s="50">
      <c r="A86" s="12" t="inlineStr">
        <is>
          <t>ACT-080</t>
        </is>
      </c>
      <c r="B86" s="13" t="inlineStr">
        <is>
          <t>WS06</t>
        </is>
      </c>
      <c r="C86" s="19" t="inlineStr">
        <is>
          <t>Colaborare pe roluri si task management</t>
        </is>
      </c>
      <c r="D86" s="20" t="inlineStr">
        <is>
          <t>Dashboard rol contabil</t>
        </is>
      </c>
      <c r="E86" s="19" t="inlineStr">
        <is>
          <t>Mihai</t>
        </is>
      </c>
      <c r="F86" s="21" t="inlineStr">
        <is>
          <t>P1</t>
        </is>
      </c>
      <c r="G86" s="17" t="inlineStr">
        <is>
          <t>Neinceput</t>
        </is>
      </c>
      <c r="H86" s="19" t="inlineStr">
        <is>
          <t>20.07.2026</t>
        </is>
      </c>
      <c r="I86" s="13" t="n">
        <v>0</v>
      </c>
      <c r="J86" s="13" t="inlineStr">
        <is>
          <t>Nu</t>
        </is>
      </c>
      <c r="K86" s="20" t="n"/>
      <c r="L86" s="20" t="n"/>
      <c r="M86" t="inlineStr">
        <is>
          <t>Da</t>
        </is>
      </c>
    </row>
    <row r="87" ht="18" customHeight="1" s="50">
      <c r="A87" s="12" t="inlineStr">
        <is>
          <t>ACT-081</t>
        </is>
      </c>
      <c r="B87" s="13" t="inlineStr">
        <is>
          <t>WS06</t>
        </is>
      </c>
      <c r="C87" s="14" t="inlineStr">
        <is>
          <t>Colaborare pe roluri si task management</t>
        </is>
      </c>
      <c r="D87" s="15" t="inlineStr">
        <is>
          <t>Dashboard rol lichidator</t>
        </is>
      </c>
      <c r="E87" s="14" t="inlineStr">
        <is>
          <t>Mihai</t>
        </is>
      </c>
      <c r="F87" s="21" t="inlineStr">
        <is>
          <t>P1</t>
        </is>
      </c>
      <c r="G87" s="17" t="inlineStr">
        <is>
          <t>Neinceput</t>
        </is>
      </c>
      <c r="H87" s="14" t="inlineStr">
        <is>
          <t>21.07.2026</t>
        </is>
      </c>
      <c r="I87" s="18" t="n">
        <v>0</v>
      </c>
      <c r="J87" s="18" t="inlineStr">
        <is>
          <t>Nu</t>
        </is>
      </c>
      <c r="K87" s="15" t="inlineStr">
        <is>
          <t>Dep: ACT-080</t>
        </is>
      </c>
      <c r="L87" s="15" t="n"/>
      <c r="M87" t="inlineStr">
        <is>
          <t>Da</t>
        </is>
      </c>
    </row>
    <row r="88" ht="18" customHeight="1" s="50">
      <c r="A88" s="12" t="inlineStr">
        <is>
          <t>ACT-082</t>
        </is>
      </c>
      <c r="B88" s="13" t="inlineStr">
        <is>
          <t>WS06</t>
        </is>
      </c>
      <c r="C88" s="19" t="inlineStr">
        <is>
          <t>Colaborare pe roluri si task management</t>
        </is>
      </c>
      <c r="D88" s="20" t="inlineStr">
        <is>
          <t>Dashboard operator (urgente, blocaje)</t>
        </is>
      </c>
      <c r="E88" s="19" t="inlineStr">
        <is>
          <t>Mihai</t>
        </is>
      </c>
      <c r="F88" s="21" t="inlineStr">
        <is>
          <t>P1</t>
        </is>
      </c>
      <c r="G88" s="17" t="inlineStr">
        <is>
          <t>Neinceput</t>
        </is>
      </c>
      <c r="H88" s="19" t="inlineStr">
        <is>
          <t>23.07.2026</t>
        </is>
      </c>
      <c r="I88" s="13" t="n">
        <v>0</v>
      </c>
      <c r="J88" s="13" t="inlineStr">
        <is>
          <t>Nu</t>
        </is>
      </c>
      <c r="K88" s="20" t="n"/>
      <c r="L88" s="20" t="n"/>
      <c r="M88" t="inlineStr">
        <is>
          <t>Da</t>
        </is>
      </c>
    </row>
    <row r="89" ht="18" customHeight="1" s="50">
      <c r="A89" s="12" t="inlineStr">
        <is>
          <t>ACT-083</t>
        </is>
      </c>
      <c r="B89" s="13" t="inlineStr">
        <is>
          <t>WS06</t>
        </is>
      </c>
      <c r="C89" s="14" t="inlineStr">
        <is>
          <t>Colaborare pe roluri si task management</t>
        </is>
      </c>
      <c r="D89" s="15" t="inlineStr">
        <is>
          <t>Comentarii task</t>
        </is>
      </c>
      <c r="E89" s="14" t="inlineStr">
        <is>
          <t>Mihai</t>
        </is>
      </c>
      <c r="F89" s="21" t="inlineStr">
        <is>
          <t>P1</t>
        </is>
      </c>
      <c r="G89" s="17" t="inlineStr">
        <is>
          <t>Neinceput</t>
        </is>
      </c>
      <c r="H89" s="14" t="inlineStr">
        <is>
          <t>26.07.2026</t>
        </is>
      </c>
      <c r="I89" s="18" t="n">
        <v>0</v>
      </c>
      <c r="J89" s="18" t="inlineStr">
        <is>
          <t>Nu</t>
        </is>
      </c>
      <c r="K89" s="15" t="n"/>
      <c r="L89" s="15" t="n"/>
      <c r="M89" t="inlineStr">
        <is>
          <t>Nu</t>
        </is>
      </c>
    </row>
    <row r="90" ht="18" customHeight="1" s="50">
      <c r="A90" s="12" t="inlineStr">
        <is>
          <t>ACT-084</t>
        </is>
      </c>
      <c r="B90" s="13" t="inlineStr">
        <is>
          <t>WS06</t>
        </is>
      </c>
      <c r="C90" s="19" t="inlineStr">
        <is>
          <t>Colaborare pe roluri si task management</t>
        </is>
      </c>
      <c r="D90" s="20" t="inlineStr">
        <is>
          <t>Notificari deadline (reminder automat)</t>
        </is>
      </c>
      <c r="E90" s="19" t="inlineStr">
        <is>
          <t>Mihai</t>
        </is>
      </c>
      <c r="F90" s="21" t="inlineStr">
        <is>
          <t>P1</t>
        </is>
      </c>
      <c r="G90" s="17" t="inlineStr">
        <is>
          <t>Neinceput</t>
        </is>
      </c>
      <c r="H90" s="19" t="inlineStr">
        <is>
          <t>29.07.2026</t>
        </is>
      </c>
      <c r="I90" s="13" t="n">
        <v>0</v>
      </c>
      <c r="J90" s="13" t="inlineStr">
        <is>
          <t>Nu</t>
        </is>
      </c>
      <c r="K90" s="20" t="inlineStr">
        <is>
          <t>Dep: ACT-083</t>
        </is>
      </c>
      <c r="L90" s="20" t="n"/>
      <c r="M90" t="inlineStr">
        <is>
          <t>Nu</t>
        </is>
      </c>
    </row>
    <row r="91" ht="18" customHeight="1" s="50">
      <c r="A91" s="12" t="inlineStr">
        <is>
          <t>ACT-085</t>
        </is>
      </c>
      <c r="B91" s="13" t="inlineStr">
        <is>
          <t>WS06</t>
        </is>
      </c>
      <c r="C91" s="14" t="inlineStr">
        <is>
          <t>Colaborare pe roluri si task management</t>
        </is>
      </c>
      <c r="D91" s="15" t="inlineStr">
        <is>
          <t>Escaladari blocaje (X zile)</t>
        </is>
      </c>
      <c r="E91" s="14" t="inlineStr">
        <is>
          <t>Mihai</t>
        </is>
      </c>
      <c r="F91" s="21" t="inlineStr">
        <is>
          <t>P1</t>
        </is>
      </c>
      <c r="G91" s="17" t="inlineStr">
        <is>
          <t>Neinceput</t>
        </is>
      </c>
      <c r="H91" s="14" t="inlineStr">
        <is>
          <t>01.08.2026</t>
        </is>
      </c>
      <c r="I91" s="18" t="n">
        <v>0</v>
      </c>
      <c r="J91" s="18" t="inlineStr">
        <is>
          <t>Nu</t>
        </is>
      </c>
      <c r="K91" s="15" t="n"/>
      <c r="L91" s="15" t="n"/>
      <c r="M91" t="inlineStr">
        <is>
          <t>Nu</t>
        </is>
      </c>
    </row>
    <row r="92" ht="18" customHeight="1" s="50">
      <c r="A92" s="12" t="inlineStr">
        <is>
          <t>ACT-086</t>
        </is>
      </c>
      <c r="B92" s="13" t="inlineStr">
        <is>
          <t>WS06</t>
        </is>
      </c>
      <c r="C92" s="19" t="inlineStr">
        <is>
          <t>Colaborare pe roluri si task management</t>
        </is>
      </c>
      <c r="D92" s="20" t="inlineStr">
        <is>
          <t>Sabloane mesaje catre colaboratori</t>
        </is>
      </c>
      <c r="E92" s="19" t="inlineStr">
        <is>
          <t>Mihai</t>
        </is>
      </c>
      <c r="F92" s="21" t="inlineStr">
        <is>
          <t>P1</t>
        </is>
      </c>
      <c r="G92" s="17" t="inlineStr">
        <is>
          <t>Neinceput</t>
        </is>
      </c>
      <c r="H92" s="19" t="inlineStr">
        <is>
          <t>04.08.2026</t>
        </is>
      </c>
      <c r="I92" s="13" t="n">
        <v>0</v>
      </c>
      <c r="J92" s="13" t="inlineStr">
        <is>
          <t>Nu</t>
        </is>
      </c>
      <c r="K92" s="20" t="n"/>
      <c r="L92" s="20" t="n"/>
      <c r="M92" t="inlineStr">
        <is>
          <t>Nu</t>
        </is>
      </c>
    </row>
    <row r="93" ht="18" customHeight="1" s="50">
      <c r="A93" s="12" t="inlineStr">
        <is>
          <t>ACT-087</t>
        </is>
      </c>
      <c r="B93" s="13" t="inlineStr">
        <is>
          <t>WS06</t>
        </is>
      </c>
      <c r="C93" s="14" t="inlineStr">
        <is>
          <t>Colaborare pe roluri si task management</t>
        </is>
      </c>
      <c r="D93" s="15" t="inlineStr">
        <is>
          <t>RACI vizibil in aplicatie</t>
        </is>
      </c>
      <c r="E93" s="14" t="inlineStr">
        <is>
          <t>Mihai</t>
        </is>
      </c>
      <c r="F93" s="21" t="inlineStr">
        <is>
          <t>P1</t>
        </is>
      </c>
      <c r="G93" s="17" t="inlineStr">
        <is>
          <t>Neinceput</t>
        </is>
      </c>
      <c r="H93" s="14" t="inlineStr">
        <is>
          <t>07.08.2026</t>
        </is>
      </c>
      <c r="I93" s="18" t="n">
        <v>0</v>
      </c>
      <c r="J93" s="18" t="inlineStr">
        <is>
          <t>Nu</t>
        </is>
      </c>
      <c r="K93" s="15" t="inlineStr">
        <is>
          <t>Dep: ACT-086</t>
        </is>
      </c>
      <c r="L93" s="15" t="n"/>
      <c r="M93" t="inlineStr">
        <is>
          <t>Nu</t>
        </is>
      </c>
    </row>
    <row r="94" ht="18" customHeight="1" s="50">
      <c r="A94" s="12" t="inlineStr">
        <is>
          <t>ACT-088</t>
        </is>
      </c>
      <c r="B94" s="13" t="inlineStr">
        <is>
          <t>WS06</t>
        </is>
      </c>
      <c r="C94" s="19" t="inlineStr">
        <is>
          <t>Colaborare pe roluri si task management</t>
        </is>
      </c>
      <c r="D94" s="20" t="inlineStr">
        <is>
          <t>Status colaborator (invitat/activ/intarziat)</t>
        </is>
      </c>
      <c r="E94" s="19" t="inlineStr">
        <is>
          <t>Mihai</t>
        </is>
      </c>
      <c r="F94" s="22" t="inlineStr">
        <is>
          <t>P2</t>
        </is>
      </c>
      <c r="G94" s="17" t="inlineStr">
        <is>
          <t>Neinceput</t>
        </is>
      </c>
      <c r="H94" s="19" t="inlineStr">
        <is>
          <t>11.08.2026</t>
        </is>
      </c>
      <c r="I94" s="13" t="n">
        <v>0</v>
      </c>
      <c r="J94" s="13" t="inlineStr">
        <is>
          <t>Nu</t>
        </is>
      </c>
      <c r="K94" s="20" t="n"/>
      <c r="L94" s="20" t="n"/>
      <c r="M94" t="inlineStr">
        <is>
          <t>Nu</t>
        </is>
      </c>
    </row>
    <row r="95" ht="18" customHeight="1" s="50">
      <c r="A95" s="12" t="inlineStr">
        <is>
          <t>ACT-089</t>
        </is>
      </c>
      <c r="B95" s="13" t="inlineStr">
        <is>
          <t>WS06</t>
        </is>
      </c>
      <c r="C95" s="14" t="inlineStr">
        <is>
          <t>Colaborare pe roluri si task management</t>
        </is>
      </c>
      <c r="D95" s="15" t="inlineStr">
        <is>
          <t>Testare acces pe rol (GDPR)</t>
        </is>
      </c>
      <c r="E95" s="14" t="inlineStr">
        <is>
          <t>Mihai</t>
        </is>
      </c>
      <c r="F95" s="22" t="inlineStr">
        <is>
          <t>P2</t>
        </is>
      </c>
      <c r="G95" s="17" t="inlineStr">
        <is>
          <t>Neinceput</t>
        </is>
      </c>
      <c r="H95" s="14" t="inlineStr">
        <is>
          <t>14.08.2026</t>
        </is>
      </c>
      <c r="I95" s="18" t="n">
        <v>0</v>
      </c>
      <c r="J95" s="18" t="inlineStr">
        <is>
          <t>Nu</t>
        </is>
      </c>
      <c r="K95" s="15" t="n"/>
      <c r="L95" s="15" t="n"/>
      <c r="M95" t="inlineStr">
        <is>
          <t>Nu</t>
        </is>
      </c>
    </row>
    <row r="96" ht="18" customHeight="1" s="50">
      <c r="A96" s="12" t="inlineStr">
        <is>
          <t>ACT-090</t>
        </is>
      </c>
      <c r="B96" s="13" t="inlineStr">
        <is>
          <t>WS06</t>
        </is>
      </c>
      <c r="C96" s="19" t="inlineStr">
        <is>
          <t>Colaborare pe roluri si task management</t>
        </is>
      </c>
      <c r="D96" s="20" t="inlineStr">
        <is>
          <t>Go-live colaborare v1</t>
        </is>
      </c>
      <c r="E96" s="19" t="inlineStr">
        <is>
          <t>Mihai</t>
        </is>
      </c>
      <c r="F96" s="22" t="inlineStr">
        <is>
          <t>P2</t>
        </is>
      </c>
      <c r="G96" s="17" t="inlineStr">
        <is>
          <t>Neinceput</t>
        </is>
      </c>
      <c r="H96" s="19" t="inlineStr">
        <is>
          <t>17.08.2026</t>
        </is>
      </c>
      <c r="I96" s="13" t="n">
        <v>0</v>
      </c>
      <c r="J96" s="13" t="inlineStr">
        <is>
          <t>Nu</t>
        </is>
      </c>
      <c r="K96" s="20" t="inlineStr">
        <is>
          <t>Dep: ACT-089</t>
        </is>
      </c>
      <c r="L96" s="20" t="n"/>
      <c r="M96" t="inlineStr">
        <is>
          <t>Nu</t>
        </is>
      </c>
    </row>
    <row r="97" ht="18" customHeight="1" s="50">
      <c r="A97" s="12" t="inlineStr">
        <is>
          <t>ACT-091</t>
        </is>
      </c>
      <c r="B97" s="13" t="inlineStr">
        <is>
          <t>WS07</t>
        </is>
      </c>
      <c r="C97" s="14" t="inlineStr">
        <is>
          <t>AI Assistant operational</t>
        </is>
      </c>
      <c r="D97" s="15" t="inlineStr">
        <is>
          <t>Definire cazuri de utilizare AI</t>
        </is>
      </c>
      <c r="E97" s="14" t="inlineStr">
        <is>
          <t>Mihai</t>
        </is>
      </c>
      <c r="F97" s="21" t="inlineStr">
        <is>
          <t>P1</t>
        </is>
      </c>
      <c r="G97" s="17" t="inlineStr">
        <is>
          <t>Neinceput</t>
        </is>
      </c>
      <c r="H97" s="14" t="inlineStr">
        <is>
          <t>14.07.2026</t>
        </is>
      </c>
      <c r="I97" s="18" t="n">
        <v>0</v>
      </c>
      <c r="J97" s="18" t="inlineStr">
        <is>
          <t>Nu</t>
        </is>
      </c>
      <c r="K97" s="15" t="n"/>
      <c r="L97" s="15" t="n"/>
      <c r="M97" t="inlineStr">
        <is>
          <t>Da</t>
        </is>
      </c>
    </row>
    <row r="98" ht="18" customHeight="1" s="50">
      <c r="A98" s="12" t="inlineStr">
        <is>
          <t>ACT-092</t>
        </is>
      </c>
      <c r="B98" s="13" t="inlineStr">
        <is>
          <t>WS07</t>
        </is>
      </c>
      <c r="C98" s="19" t="inlineStr">
        <is>
          <t>AI Assistant operational</t>
        </is>
      </c>
      <c r="D98" s="20" t="inlineStr">
        <is>
          <t>Politica AI human-in-loop</t>
        </is>
      </c>
      <c r="E98" s="19" t="inlineStr">
        <is>
          <t>Mihai</t>
        </is>
      </c>
      <c r="F98" s="21" t="inlineStr">
        <is>
          <t>P1</t>
        </is>
      </c>
      <c r="G98" s="17" t="inlineStr">
        <is>
          <t>Neinceput</t>
        </is>
      </c>
      <c r="H98" s="19" t="inlineStr">
        <is>
          <t>16.07.2026</t>
        </is>
      </c>
      <c r="I98" s="13" t="n">
        <v>0</v>
      </c>
      <c r="J98" s="13" t="inlineStr">
        <is>
          <t>Nu</t>
        </is>
      </c>
      <c r="K98" s="20" t="n"/>
      <c r="L98" s="20" t="n"/>
      <c r="M98" t="inlineStr">
        <is>
          <t>Da</t>
        </is>
      </c>
    </row>
    <row r="99" ht="18" customHeight="1" s="50">
      <c r="A99" s="12" t="inlineStr">
        <is>
          <t>ACT-093</t>
        </is>
      </c>
      <c r="B99" s="13" t="inlineStr">
        <is>
          <t>WS07</t>
        </is>
      </c>
      <c r="C99" s="14" t="inlineStr">
        <is>
          <t>AI Assistant operational</t>
        </is>
      </c>
      <c r="D99" s="15" t="inlineStr">
        <is>
          <t>Prompt mesaj client (documente lipsa)</t>
        </is>
      </c>
      <c r="E99" s="14" t="inlineStr">
        <is>
          <t>Mihai</t>
        </is>
      </c>
      <c r="F99" s="21" t="inlineStr">
        <is>
          <t>P1</t>
        </is>
      </c>
      <c r="G99" s="17" t="inlineStr">
        <is>
          <t>Neinceput</t>
        </is>
      </c>
      <c r="H99" s="14" t="inlineStr">
        <is>
          <t>19.07.2026</t>
        </is>
      </c>
      <c r="I99" s="18" t="n">
        <v>0</v>
      </c>
      <c r="J99" s="18" t="inlineStr">
        <is>
          <t>Nu</t>
        </is>
      </c>
      <c r="K99" s="15" t="inlineStr">
        <is>
          <t>Dep: ACT-092</t>
        </is>
      </c>
      <c r="L99" s="15" t="n"/>
      <c r="M99" t="inlineStr">
        <is>
          <t>Da</t>
        </is>
      </c>
    </row>
    <row r="100" ht="18" customHeight="1" s="50">
      <c r="A100" s="12" t="inlineStr">
        <is>
          <t>ACT-094</t>
        </is>
      </c>
      <c r="B100" s="13" t="inlineStr">
        <is>
          <t>WS07</t>
        </is>
      </c>
      <c r="C100" s="19" t="inlineStr">
        <is>
          <t>AI Assistant operational</t>
        </is>
      </c>
      <c r="D100" s="20" t="inlineStr">
        <is>
          <t>Prompt mesaj contabil</t>
        </is>
      </c>
      <c r="E100" s="19" t="inlineStr">
        <is>
          <t>Mihai</t>
        </is>
      </c>
      <c r="F100" s="21" t="inlineStr">
        <is>
          <t>P1</t>
        </is>
      </c>
      <c r="G100" s="17" t="inlineStr">
        <is>
          <t>Neinceput</t>
        </is>
      </c>
      <c r="H100" s="19" t="inlineStr">
        <is>
          <t>22.07.2026</t>
        </is>
      </c>
      <c r="I100" s="13" t="n">
        <v>0</v>
      </c>
      <c r="J100" s="13" t="inlineStr">
        <is>
          <t>Nu</t>
        </is>
      </c>
      <c r="K100" s="20" t="n"/>
      <c r="L100" s="20" t="n"/>
      <c r="M100" t="inlineStr">
        <is>
          <t>Da</t>
        </is>
      </c>
    </row>
    <row r="101" ht="18" customHeight="1" s="50">
      <c r="A101" s="12" t="inlineStr">
        <is>
          <t>ACT-095</t>
        </is>
      </c>
      <c r="B101" s="13" t="inlineStr">
        <is>
          <t>WS07</t>
        </is>
      </c>
      <c r="C101" s="14" t="inlineStr">
        <is>
          <t>AI Assistant operational</t>
        </is>
      </c>
      <c r="D101" s="15" t="inlineStr">
        <is>
          <t>Prompt mesaj lichidator</t>
        </is>
      </c>
      <c r="E101" s="14" t="inlineStr">
        <is>
          <t>Mihai</t>
        </is>
      </c>
      <c r="F101" s="21" t="inlineStr">
        <is>
          <t>P1</t>
        </is>
      </c>
      <c r="G101" s="17" t="inlineStr">
        <is>
          <t>Neinceput</t>
        </is>
      </c>
      <c r="H101" s="14" t="inlineStr">
        <is>
          <t>27.07.2026</t>
        </is>
      </c>
      <c r="I101" s="18" t="n">
        <v>0</v>
      </c>
      <c r="J101" s="18" t="inlineStr">
        <is>
          <t>Nu</t>
        </is>
      </c>
      <c r="K101" s="15" t="n"/>
      <c r="L101" s="15" t="n"/>
      <c r="M101" t="inlineStr">
        <is>
          <t>Da</t>
        </is>
      </c>
    </row>
    <row r="102" ht="18" customHeight="1" s="50">
      <c r="A102" s="12" t="inlineStr">
        <is>
          <t>ACT-096</t>
        </is>
      </c>
      <c r="B102" s="13" t="inlineStr">
        <is>
          <t>WS07</t>
        </is>
      </c>
      <c r="C102" s="19" t="inlineStr">
        <is>
          <t>AI Assistant operational</t>
        </is>
      </c>
      <c r="D102" s="20" t="inlineStr">
        <is>
          <t>Prompt rezumat dosar</t>
        </is>
      </c>
      <c r="E102" s="19" t="inlineStr">
        <is>
          <t>Mihai</t>
        </is>
      </c>
      <c r="F102" s="21" t="inlineStr">
        <is>
          <t>P1</t>
        </is>
      </c>
      <c r="G102" s="17" t="inlineStr">
        <is>
          <t>Neinceput</t>
        </is>
      </c>
      <c r="H102" s="19" t="inlineStr">
        <is>
          <t>30.07.2026</t>
        </is>
      </c>
      <c r="I102" s="13" t="n">
        <v>0</v>
      </c>
      <c r="J102" s="13" t="inlineStr">
        <is>
          <t>Nu</t>
        </is>
      </c>
      <c r="K102" s="20" t="inlineStr">
        <is>
          <t>Dep: ACT-095</t>
        </is>
      </c>
      <c r="L102" s="20" t="n"/>
      <c r="M102" t="inlineStr">
        <is>
          <t>Nu</t>
        </is>
      </c>
    </row>
    <row r="103" ht="18" customHeight="1" s="50">
      <c r="A103" s="12" t="inlineStr">
        <is>
          <t>ACT-097</t>
        </is>
      </c>
      <c r="B103" s="13" t="inlineStr">
        <is>
          <t>WS07</t>
        </is>
      </c>
      <c r="C103" s="14" t="inlineStr">
        <is>
          <t>AI Assistant operational</t>
        </is>
      </c>
      <c r="D103" s="15" t="inlineStr">
        <is>
          <t>Prompt documente lipsa (delta checklist)</t>
        </is>
      </c>
      <c r="E103" s="14" t="inlineStr">
        <is>
          <t>Mihai</t>
        </is>
      </c>
      <c r="F103" s="21" t="inlineStr">
        <is>
          <t>P1</t>
        </is>
      </c>
      <c r="G103" s="17" t="inlineStr">
        <is>
          <t>Neinceput</t>
        </is>
      </c>
      <c r="H103" s="14" t="inlineStr">
        <is>
          <t>02.08.2026</t>
        </is>
      </c>
      <c r="I103" s="18" t="n">
        <v>0</v>
      </c>
      <c r="J103" s="18" t="inlineStr">
        <is>
          <t>Nu</t>
        </is>
      </c>
      <c r="K103" s="15" t="n"/>
      <c r="L103" s="15" t="n"/>
      <c r="M103" t="inlineStr">
        <is>
          <t>Nu</t>
        </is>
      </c>
    </row>
    <row r="104" ht="18" customHeight="1" s="50">
      <c r="A104" s="12" t="inlineStr">
        <is>
          <t>ACT-098</t>
        </is>
      </c>
      <c r="B104" s="13" t="inlineStr">
        <is>
          <t>WS07</t>
        </is>
      </c>
      <c r="C104" s="19" t="inlineStr">
        <is>
          <t>AI Assistant operational</t>
        </is>
      </c>
      <c r="D104" s="20" t="inlineStr">
        <is>
          <t>Prompt raport saptamanal dosar</t>
        </is>
      </c>
      <c r="E104" s="19" t="inlineStr">
        <is>
          <t>Mihai</t>
        </is>
      </c>
      <c r="F104" s="21" t="inlineStr">
        <is>
          <t>P1</t>
        </is>
      </c>
      <c r="G104" s="17" t="inlineStr">
        <is>
          <t>Neinceput</t>
        </is>
      </c>
      <c r="H104" s="19" t="inlineStr">
        <is>
          <t>05.08.2026</t>
        </is>
      </c>
      <c r="I104" s="13" t="n">
        <v>0</v>
      </c>
      <c r="J104" s="13" t="inlineStr">
        <is>
          <t>Nu</t>
        </is>
      </c>
      <c r="K104" s="20" t="n"/>
      <c r="L104" s="20" t="n"/>
      <c r="M104" t="inlineStr">
        <is>
          <t>Nu</t>
        </is>
      </c>
    </row>
    <row r="105" ht="18" customHeight="1" s="50">
      <c r="A105" s="12" t="inlineStr">
        <is>
          <t>ACT-099</t>
        </is>
      </c>
      <c r="B105" s="13" t="inlineStr">
        <is>
          <t>WS07</t>
        </is>
      </c>
      <c r="C105" s="14" t="inlineStr">
        <is>
          <t>AI Assistant operational</t>
        </is>
      </c>
      <c r="D105" s="15" t="inlineStr">
        <is>
          <t>Extragere date din documente (CUI, etc.)</t>
        </is>
      </c>
      <c r="E105" s="14" t="inlineStr">
        <is>
          <t>Mihai</t>
        </is>
      </c>
      <c r="F105" s="21" t="inlineStr">
        <is>
          <t>P1</t>
        </is>
      </c>
      <c r="G105" s="17" t="inlineStr">
        <is>
          <t>Neinceput</t>
        </is>
      </c>
      <c r="H105" s="14" t="inlineStr">
        <is>
          <t>08.08.2026</t>
        </is>
      </c>
      <c r="I105" s="18" t="n">
        <v>0</v>
      </c>
      <c r="J105" s="18" t="inlineStr">
        <is>
          <t>Nu</t>
        </is>
      </c>
      <c r="K105" s="15" t="inlineStr">
        <is>
          <t>Dep: ACT-098</t>
        </is>
      </c>
      <c r="L105" s="15" t="n"/>
      <c r="M105" t="inlineStr">
        <is>
          <t>Nu</t>
        </is>
      </c>
    </row>
    <row r="106" ht="18" customHeight="1" s="50">
      <c r="A106" s="12" t="inlineStr">
        <is>
          <t>ACT-100</t>
        </is>
      </c>
      <c r="B106" s="13" t="inlineStr">
        <is>
          <t>WS07</t>
        </is>
      </c>
      <c r="C106" s="19" t="inlineStr">
        <is>
          <t>AI Assistant operational</t>
        </is>
      </c>
      <c r="D106" s="20" t="inlineStr">
        <is>
          <t>Redactare date sensibile inainte LLM</t>
        </is>
      </c>
      <c r="E106" s="19" t="inlineStr">
        <is>
          <t>Mihai</t>
        </is>
      </c>
      <c r="F106" s="21" t="inlineStr">
        <is>
          <t>P1</t>
        </is>
      </c>
      <c r="G106" s="17" t="inlineStr">
        <is>
          <t>Neinceput</t>
        </is>
      </c>
      <c r="H106" s="19" t="inlineStr">
        <is>
          <t>13.08.2026</t>
        </is>
      </c>
      <c r="I106" s="13" t="n">
        <v>0</v>
      </c>
      <c r="J106" s="13" t="inlineStr">
        <is>
          <t>Nu</t>
        </is>
      </c>
      <c r="K106" s="20" t="n"/>
      <c r="L106" s="20" t="n"/>
      <c r="M106" t="inlineStr">
        <is>
          <t>Nu</t>
        </is>
      </c>
    </row>
    <row r="107" ht="18" customHeight="1" s="50">
      <c r="A107" s="12" t="inlineStr">
        <is>
          <t>ACT-101</t>
        </is>
      </c>
      <c r="B107" s="13" t="inlineStr">
        <is>
          <t>WS07</t>
        </is>
      </c>
      <c r="C107" s="14" t="inlineStr">
        <is>
          <t>AI Assistant operational</t>
        </is>
      </c>
      <c r="D107" s="15" t="inlineStr">
        <is>
          <t>Log AI intern (prompt/output/user/ts)</t>
        </is>
      </c>
      <c r="E107" s="14" t="inlineStr">
        <is>
          <t>Mihai</t>
        </is>
      </c>
      <c r="F107" s="21" t="inlineStr">
        <is>
          <t>P1</t>
        </is>
      </c>
      <c r="G107" s="17" t="inlineStr">
        <is>
          <t>Neinceput</t>
        </is>
      </c>
      <c r="H107" s="14" t="inlineStr">
        <is>
          <t>16.08.2026</t>
        </is>
      </c>
      <c r="I107" s="18" t="n">
        <v>0</v>
      </c>
      <c r="J107" s="18" t="inlineStr">
        <is>
          <t>Nu</t>
        </is>
      </c>
      <c r="K107" s="15" t="n"/>
      <c r="L107" s="15" t="n"/>
      <c r="M107" t="inlineStr">
        <is>
          <t>Nu</t>
        </is>
      </c>
    </row>
    <row r="108" ht="18" customHeight="1" s="50">
      <c r="A108" s="12" t="inlineStr">
        <is>
          <t>ACT-102</t>
        </is>
      </c>
      <c r="B108" s="13" t="inlineStr">
        <is>
          <t>WS07</t>
        </is>
      </c>
      <c r="C108" s="19" t="inlineStr">
        <is>
          <t>AI Assistant operational</t>
        </is>
      </c>
      <c r="D108" s="20" t="inlineStr">
        <is>
          <t>Buton accepta/editeaza output AI</t>
        </is>
      </c>
      <c r="E108" s="19" t="inlineStr">
        <is>
          <t>Mihai</t>
        </is>
      </c>
      <c r="F108" s="21" t="inlineStr">
        <is>
          <t>P1</t>
        </is>
      </c>
      <c r="G108" s="17" t="inlineStr">
        <is>
          <t>Neinceput</t>
        </is>
      </c>
      <c r="H108" s="19" t="inlineStr">
        <is>
          <t>19.08.2026</t>
        </is>
      </c>
      <c r="I108" s="13" t="n">
        <v>0</v>
      </c>
      <c r="J108" s="13" t="inlineStr">
        <is>
          <t>Nu</t>
        </is>
      </c>
      <c r="K108" s="20" t="inlineStr">
        <is>
          <t>Dep: ACT-101</t>
        </is>
      </c>
      <c r="L108" s="20" t="n"/>
      <c r="M108" t="inlineStr">
        <is>
          <t>Nu</t>
        </is>
      </c>
    </row>
    <row r="109" ht="18" customHeight="1" s="50">
      <c r="A109" s="12" t="inlineStr">
        <is>
          <t>ACT-103</t>
        </is>
      </c>
      <c r="B109" s="13" t="inlineStr">
        <is>
          <t>WS07</t>
        </is>
      </c>
      <c r="C109" s="14" t="inlineStr">
        <is>
          <t>AI Assistant operational</t>
        </is>
      </c>
      <c r="D109" s="15" t="inlineStr">
        <is>
          <t>Biblioteca prompturi versionate</t>
        </is>
      </c>
      <c r="E109" s="14" t="inlineStr">
        <is>
          <t>Mihai</t>
        </is>
      </c>
      <c r="F109" s="22" t="inlineStr">
        <is>
          <t>P2</t>
        </is>
      </c>
      <c r="G109" s="17" t="inlineStr">
        <is>
          <t>Neinceput</t>
        </is>
      </c>
      <c r="H109" s="14" t="inlineStr">
        <is>
          <t>22.08.2026</t>
        </is>
      </c>
      <c r="I109" s="18" t="n">
        <v>0</v>
      </c>
      <c r="J109" s="18" t="inlineStr">
        <is>
          <t>Nu</t>
        </is>
      </c>
      <c r="K109" s="15" t="n"/>
      <c r="L109" s="15" t="n"/>
      <c r="M109" t="inlineStr">
        <is>
          <t>Nu</t>
        </is>
      </c>
    </row>
    <row r="110" ht="18" customHeight="1" s="50">
      <c r="A110" s="12" t="inlineStr">
        <is>
          <t>ACT-104</t>
        </is>
      </c>
      <c r="B110" s="13" t="inlineStr">
        <is>
          <t>WS07</t>
        </is>
      </c>
      <c r="C110" s="19" t="inlineStr">
        <is>
          <t>AI Assistant operational</t>
        </is>
      </c>
      <c r="D110" s="20" t="inlineStr">
        <is>
          <t>Testare AI pe 20 scenarii demo</t>
        </is>
      </c>
      <c r="E110" s="19" t="inlineStr">
        <is>
          <t>Mihai</t>
        </is>
      </c>
      <c r="F110" s="22" t="inlineStr">
        <is>
          <t>P2</t>
        </is>
      </c>
      <c r="G110" s="17" t="inlineStr">
        <is>
          <t>Neinceput</t>
        </is>
      </c>
      <c r="H110" s="19" t="inlineStr">
        <is>
          <t>25.08.2026</t>
        </is>
      </c>
      <c r="I110" s="13" t="n">
        <v>0</v>
      </c>
      <c r="J110" s="13" t="inlineStr">
        <is>
          <t>Nu</t>
        </is>
      </c>
      <c r="K110" s="20" t="n"/>
      <c r="L110" s="20" t="n"/>
      <c r="M110" t="inlineStr">
        <is>
          <t>Nu</t>
        </is>
      </c>
    </row>
    <row r="111" ht="18" customHeight="1" s="50">
      <c r="A111" s="12" t="inlineStr">
        <is>
          <t>ACT-105</t>
        </is>
      </c>
      <c r="B111" s="13" t="inlineStr">
        <is>
          <t>WS07</t>
        </is>
      </c>
      <c r="C111" s="14" t="inlineStr">
        <is>
          <t>AI Assistant operational</t>
        </is>
      </c>
      <c r="D111" s="15" t="inlineStr">
        <is>
          <t>Lansare AI Assistant v1 (operator only)</t>
        </is>
      </c>
      <c r="E111" s="14" t="inlineStr">
        <is>
          <t>Mihai</t>
        </is>
      </c>
      <c r="F111" s="22" t="inlineStr">
        <is>
          <t>P2</t>
        </is>
      </c>
      <c r="G111" s="17" t="inlineStr">
        <is>
          <t>Neinceput</t>
        </is>
      </c>
      <c r="H111" s="14" t="inlineStr">
        <is>
          <t>27.08.2026</t>
        </is>
      </c>
      <c r="I111" s="18" t="n">
        <v>0</v>
      </c>
      <c r="J111" s="18" t="inlineStr">
        <is>
          <t>Nu</t>
        </is>
      </c>
      <c r="K111" s="15" t="inlineStr">
        <is>
          <t>Dep: ACT-104</t>
        </is>
      </c>
      <c r="L111" s="15" t="n"/>
      <c r="M111" t="inlineStr">
        <is>
          <t>Nu</t>
        </is>
      </c>
    </row>
    <row r="112" ht="18" customHeight="1" s="50">
      <c r="A112" s="12" t="inlineStr">
        <is>
          <t>ACT-106</t>
        </is>
      </c>
      <c r="B112" s="13" t="inlineStr">
        <is>
          <t>WS08</t>
        </is>
      </c>
      <c r="C112" s="19" t="inlineStr">
        <is>
          <t>API-uri si servicii externe de date</t>
        </is>
      </c>
      <c r="D112" s="20" t="inlineStr">
        <is>
          <t>Creare cont FirmeAPI (sandbox)</t>
        </is>
      </c>
      <c r="E112" s="19" t="inlineStr">
        <is>
          <t>Mihai</t>
        </is>
      </c>
      <c r="F112" s="21" t="inlineStr">
        <is>
          <t>P1</t>
        </is>
      </c>
      <c r="G112" s="17" t="inlineStr">
        <is>
          <t>Neinceput</t>
        </is>
      </c>
      <c r="H112" s="19" t="inlineStr">
        <is>
          <t>02.07.2026</t>
        </is>
      </c>
      <c r="I112" s="13" t="n">
        <v>0</v>
      </c>
      <c r="J112" s="13" t="inlineStr">
        <is>
          <t>Nu</t>
        </is>
      </c>
      <c r="K112" s="20" t="n"/>
      <c r="L112" s="20" t="n"/>
      <c r="M112" t="inlineStr">
        <is>
          <t>Da</t>
        </is>
      </c>
    </row>
    <row r="113" ht="18" customHeight="1" s="50">
      <c r="A113" s="12" t="inlineStr">
        <is>
          <t>ACT-107</t>
        </is>
      </c>
      <c r="B113" s="13" t="inlineStr">
        <is>
          <t>WS08</t>
        </is>
      </c>
      <c r="C113" s="14" t="inlineStr">
        <is>
          <t>API-uri si servicii externe de date</t>
        </is>
      </c>
      <c r="D113" s="15" t="inlineStr">
        <is>
          <t>Integrare endpoint detalii firma (CUI)</t>
        </is>
      </c>
      <c r="E113" s="14" t="inlineStr">
        <is>
          <t>Mihai</t>
        </is>
      </c>
      <c r="F113" s="21" t="inlineStr">
        <is>
          <t>P1</t>
        </is>
      </c>
      <c r="G113" s="17" t="inlineStr">
        <is>
          <t>Finalizat</t>
        </is>
      </c>
      <c r="H113" s="14" t="inlineStr">
        <is>
          <t>06.07.2026</t>
        </is>
      </c>
      <c r="I113" s="18" t="n">
        <v>100</v>
      </c>
      <c r="J113" s="18" t="inlineStr">
        <is>
          <t>Nu</t>
        </is>
      </c>
      <c r="K113" s="15" t="inlineStr">
        <is>
          <t>Netlify Function firma-info.js — API ANAF TVA v8</t>
        </is>
      </c>
      <c r="L113" s="15" t="n"/>
      <c r="M113" t="inlineStr">
        <is>
          <t>Da</t>
        </is>
      </c>
    </row>
    <row r="114" ht="18" customHeight="1" s="50">
      <c r="A114" s="12" t="inlineStr">
        <is>
          <t>ACT-108</t>
        </is>
      </c>
      <c r="B114" s="13" t="inlineStr">
        <is>
          <t>WS08</t>
        </is>
      </c>
      <c r="C114" s="19" t="inlineStr">
        <is>
          <t>API-uri si servicii externe de date</t>
        </is>
      </c>
      <c r="D114" s="20" t="inlineStr">
        <is>
          <t>Integrare administratori/asociati</t>
        </is>
      </c>
      <c r="E114" s="19" t="inlineStr">
        <is>
          <t>Mihai</t>
        </is>
      </c>
      <c r="F114" s="21" t="inlineStr">
        <is>
          <t>P1</t>
        </is>
      </c>
      <c r="G114" s="17" t="inlineStr">
        <is>
          <t>Neinceput</t>
        </is>
      </c>
      <c r="H114" s="19" t="inlineStr">
        <is>
          <t>10.07.2026</t>
        </is>
      </c>
      <c r="I114" s="13" t="n">
        <v>0</v>
      </c>
      <c r="J114" s="13" t="inlineStr">
        <is>
          <t>Nu</t>
        </is>
      </c>
      <c r="K114" s="20" t="inlineStr">
        <is>
          <t>Dep: ACT-107</t>
        </is>
      </c>
      <c r="L114" s="20" t="n"/>
      <c r="M114" t="inlineStr">
        <is>
          <t>Nu</t>
        </is>
      </c>
    </row>
    <row r="115" ht="18" customHeight="1" s="50">
      <c r="A115" s="12" t="inlineStr">
        <is>
          <t>ACT-109</t>
        </is>
      </c>
      <c r="B115" s="13" t="inlineStr">
        <is>
          <t>WS08</t>
        </is>
      </c>
      <c r="C115" s="14" t="inlineStr">
        <is>
          <t>API-uri si servicii externe de date</t>
        </is>
      </c>
      <c r="D115" s="15" t="inlineStr">
        <is>
          <t>Integrare datorii ANAF ca semnal risc</t>
        </is>
      </c>
      <c r="E115" s="14" t="inlineStr">
        <is>
          <t>Mihai</t>
        </is>
      </c>
      <c r="F115" s="21" t="inlineStr">
        <is>
          <t>P1</t>
        </is>
      </c>
      <c r="G115" s="17" t="inlineStr">
        <is>
          <t>Neinceput</t>
        </is>
      </c>
      <c r="H115" s="14" t="inlineStr">
        <is>
          <t>14.07.2026</t>
        </is>
      </c>
      <c r="I115" s="18" t="n">
        <v>0</v>
      </c>
      <c r="J115" s="18" t="inlineStr">
        <is>
          <t>Nu</t>
        </is>
      </c>
      <c r="K115" s="15" t="n"/>
      <c r="L115" s="15" t="n"/>
      <c r="M115" t="inlineStr">
        <is>
          <t>Nu</t>
        </is>
      </c>
    </row>
    <row r="116" ht="18" customHeight="1" s="50">
      <c r="A116" s="12" t="inlineStr">
        <is>
          <t>ACT-110</t>
        </is>
      </c>
      <c r="B116" s="13" t="inlineStr">
        <is>
          <t>WS08</t>
        </is>
      </c>
      <c r="C116" s="19" t="inlineStr">
        <is>
          <t>API-uri si servicii externe de date</t>
        </is>
      </c>
      <c r="D116" s="20" t="inlineStr">
        <is>
          <t>Integrare bilant/financiar ca semnal</t>
        </is>
      </c>
      <c r="E116" s="19" t="inlineStr">
        <is>
          <t>Mihai</t>
        </is>
      </c>
      <c r="F116" s="21" t="inlineStr">
        <is>
          <t>P1</t>
        </is>
      </c>
      <c r="G116" s="17" t="inlineStr">
        <is>
          <t>Neinceput</t>
        </is>
      </c>
      <c r="H116" s="19" t="inlineStr">
        <is>
          <t>19.07.2026</t>
        </is>
      </c>
      <c r="I116" s="13" t="n">
        <v>0</v>
      </c>
      <c r="J116" s="13" t="inlineStr">
        <is>
          <t>Nu</t>
        </is>
      </c>
      <c r="K116" s="20" t="n"/>
      <c r="L116" s="20" t="n"/>
      <c r="M116" t="inlineStr">
        <is>
          <t>Nu</t>
        </is>
      </c>
    </row>
    <row r="117" ht="18" customHeight="1" s="50">
      <c r="A117" s="12" t="inlineStr">
        <is>
          <t>ACT-111</t>
        </is>
      </c>
      <c r="B117" s="13" t="inlineStr">
        <is>
          <t>WS08</t>
        </is>
      </c>
      <c r="C117" s="14" t="inlineStr">
        <is>
          <t>API-uri si servicii externe de date</t>
        </is>
      </c>
      <c r="D117" s="15" t="inlineStr">
        <is>
          <t>Integrare MOF/BPI (insolventa)</t>
        </is>
      </c>
      <c r="E117" s="14" t="inlineStr">
        <is>
          <t>Mihai</t>
        </is>
      </c>
      <c r="F117" s="21" t="inlineStr">
        <is>
          <t>P1</t>
        </is>
      </c>
      <c r="G117" s="17" t="inlineStr">
        <is>
          <t>Neinceput</t>
        </is>
      </c>
      <c r="H117" s="14" t="inlineStr">
        <is>
          <t>21.07.2026</t>
        </is>
      </c>
      <c r="I117" s="18" t="n">
        <v>0</v>
      </c>
      <c r="J117" s="18" t="inlineStr">
        <is>
          <t>Nu</t>
        </is>
      </c>
      <c r="K117" s="15" t="inlineStr">
        <is>
          <t>Dep: ACT-110</t>
        </is>
      </c>
      <c r="L117" s="15" t="n"/>
      <c r="M117" t="inlineStr">
        <is>
          <t>Nu</t>
        </is>
      </c>
    </row>
    <row r="118" ht="18" customHeight="1" s="50">
      <c r="A118" s="12" t="inlineStr">
        <is>
          <t>ACT-112</t>
        </is>
      </c>
      <c r="B118" s="13" t="inlineStr">
        <is>
          <t>WS08</t>
        </is>
      </c>
      <c r="C118" s="19" t="inlineStr">
        <is>
          <t>API-uri si servicii externe de date</t>
        </is>
      </c>
      <c r="D118" s="20" t="inlineStr">
        <is>
          <t>Cercetare Targetare API (costuri/termeni)</t>
        </is>
      </c>
      <c r="E118" s="19" t="inlineStr">
        <is>
          <t>Mihai</t>
        </is>
      </c>
      <c r="F118" s="21" t="inlineStr">
        <is>
          <t>P1</t>
        </is>
      </c>
      <c r="G118" s="17" t="inlineStr">
        <is>
          <t>Neinceput</t>
        </is>
      </c>
      <c r="H118" s="19" t="inlineStr">
        <is>
          <t>24.07.2026</t>
        </is>
      </c>
      <c r="I118" s="13" t="n">
        <v>0</v>
      </c>
      <c r="J118" s="13" t="inlineStr">
        <is>
          <t>Nu</t>
        </is>
      </c>
      <c r="K118" s="20" t="n"/>
      <c r="L118" s="20" t="n"/>
      <c r="M118" t="inlineStr">
        <is>
          <t>Nu</t>
        </is>
      </c>
    </row>
    <row r="119" ht="18" customHeight="1" s="50">
      <c r="A119" s="12" t="inlineStr">
        <is>
          <t>ACT-121</t>
        </is>
      </c>
      <c r="B119" s="13" t="inlineStr">
        <is>
          <t>WS09</t>
        </is>
      </c>
      <c r="C119" s="14" t="inlineStr">
        <is>
          <t>Plati, documente, notificari</t>
        </is>
      </c>
      <c r="D119" s="15" t="inlineStr">
        <is>
          <t>Integrare platforma plata (Netopia/Stripe)</t>
        </is>
      </c>
      <c r="E119" s="14" t="inlineStr">
        <is>
          <t>Mihai</t>
        </is>
      </c>
      <c r="F119" s="21" t="inlineStr">
        <is>
          <t>P1</t>
        </is>
      </c>
      <c r="G119" s="17" t="inlineStr">
        <is>
          <t>Neinceput</t>
        </is>
      </c>
      <c r="H119" s="14" t="inlineStr">
        <is>
          <t>21.08.2026</t>
        </is>
      </c>
      <c r="I119" s="18" t="n">
        <v>0</v>
      </c>
      <c r="J119" s="18" t="inlineStr">
        <is>
          <t>Nu</t>
        </is>
      </c>
      <c r="K119" s="15" t="n"/>
      <c r="L119" s="15" t="n"/>
      <c r="M119" t="inlineStr">
        <is>
          <t>Da</t>
        </is>
      </c>
    </row>
    <row r="120" ht="18" customHeight="1" s="50">
      <c r="A120" s="12" t="inlineStr">
        <is>
          <t>ACT-122</t>
        </is>
      </c>
      <c r="B120" s="13" t="inlineStr">
        <is>
          <t>WS09</t>
        </is>
      </c>
      <c r="C120" s="19" t="inlineStr">
        <is>
          <t>Plati, documente, notificari</t>
        </is>
      </c>
      <c r="D120" s="20" t="inlineStr">
        <is>
          <t>Generare documente din template</t>
        </is>
      </c>
      <c r="E120" s="19" t="inlineStr">
        <is>
          <t>Mihai</t>
        </is>
      </c>
      <c r="F120" s="21" t="inlineStr">
        <is>
          <t>P1</t>
        </is>
      </c>
      <c r="G120" s="17" t="inlineStr">
        <is>
          <t>Neinceput</t>
        </is>
      </c>
      <c r="H120" s="19" t="inlineStr">
        <is>
          <t>25.08.2026</t>
        </is>
      </c>
      <c r="I120" s="13" t="n">
        <v>0</v>
      </c>
      <c r="J120" s="13" t="inlineStr">
        <is>
          <t>Nu</t>
        </is>
      </c>
      <c r="K120" s="20" t="n"/>
      <c r="L120" s="20" t="n"/>
      <c r="M120" t="inlineStr">
        <is>
          <t>Da</t>
        </is>
      </c>
    </row>
    <row r="121" ht="18" customHeight="1" s="50">
      <c r="A121" s="12" t="inlineStr">
        <is>
          <t>ACT-123</t>
        </is>
      </c>
      <c r="B121" s="13" t="inlineStr">
        <is>
          <t>WS09</t>
        </is>
      </c>
      <c r="C121" s="14" t="inlineStr">
        <is>
          <t>Plati, documente, notificari</t>
        </is>
      </c>
      <c r="D121" s="15" t="inlineStr">
        <is>
          <t>Notificari email tranzactionale</t>
        </is>
      </c>
      <c r="E121" s="14" t="inlineStr">
        <is>
          <t>Mihai</t>
        </is>
      </c>
      <c r="F121" s="21" t="inlineStr">
        <is>
          <t>P1</t>
        </is>
      </c>
      <c r="G121" s="17" t="inlineStr">
        <is>
          <t>In lucru</t>
        </is>
      </c>
      <c r="H121" s="14" t="inlineStr">
        <is>
          <t>28.08.2026</t>
        </is>
      </c>
      <c r="I121" s="18" t="n">
        <v>70</v>
      </c>
      <c r="J121" s="18" t="inlineStr">
        <is>
          <t>Nu</t>
        </is>
      </c>
      <c r="K121" s="15" t="inlineStr">
        <is>
          <t>Netlify Function send-email.js cu template-uri email</t>
        </is>
      </c>
      <c r="L121" s="15" t="n"/>
      <c r="M121" t="inlineStr">
        <is>
          <t>Da</t>
        </is>
      </c>
    </row>
    <row r="122" ht="18" customHeight="1" s="50">
      <c r="A122" s="12" t="inlineStr">
        <is>
          <t>ACT-131</t>
        </is>
      </c>
      <c r="B122" s="13" t="inlineStr">
        <is>
          <t>WS10</t>
        </is>
      </c>
      <c r="C122" s="19" t="inlineStr">
        <is>
          <t>Securitate, GDPR, audit trail, QA</t>
        </is>
      </c>
      <c r="D122" s="20" t="inlineStr">
        <is>
          <t>Politica de retentie date si documente</t>
        </is>
      </c>
      <c r="E122" s="19" t="inlineStr">
        <is>
          <t>Mihai</t>
        </is>
      </c>
      <c r="F122" s="16" t="inlineStr">
        <is>
          <t>P0</t>
        </is>
      </c>
      <c r="G122" s="17" t="inlineStr">
        <is>
          <t>Neinceput</t>
        </is>
      </c>
      <c r="H122" s="19" t="inlineStr">
        <is>
          <t>21.08.2026</t>
        </is>
      </c>
      <c r="I122" s="13" t="n">
        <v>0</v>
      </c>
      <c r="J122" s="13" t="inlineStr">
        <is>
          <t>Nu</t>
        </is>
      </c>
      <c r="K122" s="20" t="n"/>
      <c r="L122" s="20" t="n"/>
      <c r="M122" t="inlineStr">
        <is>
          <t>Nu</t>
        </is>
      </c>
    </row>
    <row r="123" ht="18" customHeight="1" s="50">
      <c r="A123" s="12" t="inlineStr">
        <is>
          <t>ACT-132</t>
        </is>
      </c>
      <c r="B123" s="13" t="inlineStr">
        <is>
          <t>WS10</t>
        </is>
      </c>
      <c r="C123" s="14" t="inlineStr">
        <is>
          <t>Securitate, GDPR, audit trail, QA</t>
        </is>
      </c>
      <c r="D123" s="15" t="inlineStr">
        <is>
          <t>GDPR — consimtamant si drepturi utilizator</t>
        </is>
      </c>
      <c r="E123" s="14" t="inlineStr">
        <is>
          <t>Stelian</t>
        </is>
      </c>
      <c r="F123" s="16" t="inlineStr">
        <is>
          <t>P0</t>
        </is>
      </c>
      <c r="G123" s="17" t="inlineStr">
        <is>
          <t>Finalizat</t>
        </is>
      </c>
      <c r="H123" s="14" t="inlineStr">
        <is>
          <t>25.08.2026</t>
        </is>
      </c>
      <c r="I123" s="18" t="n">
        <v>100</v>
      </c>
      <c r="J123" s="18" t="inlineStr">
        <is>
          <t>Nu</t>
        </is>
      </c>
      <c r="K123" s="15" t="inlineStr">
        <is>
          <t>Pagini GDPR, cookies, confidentialitate + RLS Supabase</t>
        </is>
      </c>
      <c r="L123" s="15" t="n"/>
      <c r="M123" t="inlineStr">
        <is>
          <t>Da</t>
        </is>
      </c>
    </row>
    <row r="124" ht="18" customHeight="1" s="50">
      <c r="A124" s="12" t="inlineStr">
        <is>
          <t>ACT-133</t>
        </is>
      </c>
      <c r="B124" s="13" t="inlineStr">
        <is>
          <t>WS10</t>
        </is>
      </c>
      <c r="C124" s="19" t="inlineStr">
        <is>
          <t>Securitate, GDPR, audit trail, QA</t>
        </is>
      </c>
      <c r="D124" s="20" t="inlineStr">
        <is>
          <t>Testare penetrare si securitate RBAC</t>
        </is>
      </c>
      <c r="E124" s="19" t="inlineStr">
        <is>
          <t>Mihai</t>
        </is>
      </c>
      <c r="F124" s="21" t="inlineStr">
        <is>
          <t>P1</t>
        </is>
      </c>
      <c r="G124" s="17" t="inlineStr">
        <is>
          <t>Neinceput</t>
        </is>
      </c>
      <c r="H124" s="19" t="inlineStr">
        <is>
          <t>28.08.2026</t>
        </is>
      </c>
      <c r="I124" s="13" t="n">
        <v>0</v>
      </c>
      <c r="J124" s="13" t="inlineStr">
        <is>
          <t>Nu</t>
        </is>
      </c>
      <c r="K124" s="20" t="n"/>
      <c r="L124" s="20" t="n"/>
      <c r="M124" t="inlineStr">
        <is>
          <t>Nu</t>
        </is>
      </c>
    </row>
    <row r="125" ht="18" customHeight="1" s="50">
      <c r="A125" s="12" t="inlineStr">
        <is>
          <t>ACT-141</t>
        </is>
      </c>
      <c r="B125" s="13" t="inlineStr">
        <is>
          <t>WS11</t>
        </is>
      </c>
      <c r="C125" s="14" t="inlineStr">
        <is>
          <t>Retea parteneri, monetizare, operatiuni</t>
        </is>
      </c>
      <c r="D125" s="15" t="inlineStr">
        <is>
          <t>Identificare si contactare contabili pilot</t>
        </is>
      </c>
      <c r="E125" s="14" t="inlineStr">
        <is>
          <t>Stelian</t>
        </is>
      </c>
      <c r="F125" s="16" t="inlineStr">
        <is>
          <t>P0</t>
        </is>
      </c>
      <c r="G125" s="17" t="inlineStr">
        <is>
          <t>Neinceput</t>
        </is>
      </c>
      <c r="H125" s="14" t="inlineStr">
        <is>
          <t>08.06.2026</t>
        </is>
      </c>
      <c r="I125" s="18" t="n">
        <v>0</v>
      </c>
      <c r="J125" s="18" t="inlineStr">
        <is>
          <t>Nu</t>
        </is>
      </c>
      <c r="K125" s="15" t="n"/>
      <c r="L125" s="15" t="n"/>
      <c r="M125" t="inlineStr">
        <is>
          <t>Nu</t>
        </is>
      </c>
    </row>
    <row r="126" ht="18" customHeight="1" s="50">
      <c r="A126" s="12" t="inlineStr">
        <is>
          <t>ACT-142</t>
        </is>
      </c>
      <c r="B126" s="13" t="inlineStr">
        <is>
          <t>WS11</t>
        </is>
      </c>
      <c r="C126" s="19" t="inlineStr">
        <is>
          <t>Retea parteneri, monetizare, operatiuni</t>
        </is>
      </c>
      <c r="D126" s="20" t="inlineStr">
        <is>
          <t>Identificare si contactare lichidatori pilot</t>
        </is>
      </c>
      <c r="E126" s="19" t="inlineStr">
        <is>
          <t>Stelian</t>
        </is>
      </c>
      <c r="F126" s="16" t="inlineStr">
        <is>
          <t>P0</t>
        </is>
      </c>
      <c r="G126" s="17" t="inlineStr">
        <is>
          <t>Neinceput</t>
        </is>
      </c>
      <c r="H126" s="19" t="inlineStr">
        <is>
          <t>15.06.2026</t>
        </is>
      </c>
      <c r="I126" s="13" t="n">
        <v>0</v>
      </c>
      <c r="J126" s="13" t="inlineStr">
        <is>
          <t>Nu</t>
        </is>
      </c>
      <c r="K126" s="20" t="n"/>
      <c r="L126" s="20" t="n"/>
      <c r="M126" t="inlineStr">
        <is>
          <t>Nu</t>
        </is>
      </c>
    </row>
    <row r="127" ht="18" customHeight="1" s="50">
      <c r="A127" s="12" t="inlineStr">
        <is>
          <t>ACT-143</t>
        </is>
      </c>
      <c r="B127" s="13" t="inlineStr">
        <is>
          <t>WS11</t>
        </is>
      </c>
      <c r="C127" s="14" t="inlineStr">
        <is>
          <t>Retea parteneri, monetizare, operatiuni</t>
        </is>
      </c>
      <c r="D127" s="15" t="inlineStr">
        <is>
          <t>Definire pachete comerciale finale</t>
        </is>
      </c>
      <c r="E127" s="14" t="inlineStr">
        <is>
          <t>Stelian</t>
        </is>
      </c>
      <c r="F127" s="16" t="inlineStr">
        <is>
          <t>P0</t>
        </is>
      </c>
      <c r="G127" s="17" t="inlineStr">
        <is>
          <t>Neinceput</t>
        </is>
      </c>
      <c r="H127" s="14" t="inlineStr">
        <is>
          <t>22.06.2026</t>
        </is>
      </c>
      <c r="I127" s="18" t="n">
        <v>0</v>
      </c>
      <c r="J127" s="18" t="inlineStr">
        <is>
          <t>Nu</t>
        </is>
      </c>
      <c r="K127" s="15" t="n"/>
      <c r="L127" s="15" t="n"/>
      <c r="M127" t="inlineStr">
        <is>
          <t>Nu</t>
        </is>
      </c>
    </row>
    <row r="128" ht="18" customHeight="1" s="50">
      <c r="A128" s="12" t="inlineStr">
        <is>
          <t>ACT-151</t>
        </is>
      </c>
      <c r="B128" s="13" t="inlineStr">
        <is>
          <t>WS12</t>
        </is>
      </c>
      <c r="C128" s="19" t="inlineStr">
        <is>
          <t>Lansare, marketing, analytics, iterare</t>
        </is>
      </c>
      <c r="D128" s="20" t="inlineStr">
        <is>
          <t>Setup GA4 + PostHog</t>
        </is>
      </c>
      <c r="E128" s="19" t="inlineStr">
        <is>
          <t>Mihai</t>
        </is>
      </c>
      <c r="F128" s="21" t="inlineStr">
        <is>
          <t>P1</t>
        </is>
      </c>
      <c r="G128" s="17" t="inlineStr">
        <is>
          <t>Neinceput</t>
        </is>
      </c>
      <c r="H128" s="19" t="inlineStr">
        <is>
          <t>07.09.2026</t>
        </is>
      </c>
      <c r="I128" s="13" t="n">
        <v>0</v>
      </c>
      <c r="J128" s="13" t="inlineStr">
        <is>
          <t>Nu</t>
        </is>
      </c>
      <c r="K128" s="20" t="n"/>
      <c r="L128" s="20" t="n"/>
      <c r="M128" t="inlineStr">
        <is>
          <t>Da</t>
        </is>
      </c>
    </row>
    <row r="129" ht="18" customHeight="1" s="50">
      <c r="A129" s="12" t="inlineStr">
        <is>
          <t>ACT-152</t>
        </is>
      </c>
      <c r="B129" s="13" t="inlineStr">
        <is>
          <t>WS12</t>
        </is>
      </c>
      <c r="C129" s="14" t="inlineStr">
        <is>
          <t>Lansare, marketing, analytics, iterare</t>
        </is>
      </c>
      <c r="D129" s="15" t="inlineStr">
        <is>
          <t>Campanie lansare (SEO + social + referral)</t>
        </is>
      </c>
      <c r="E129" s="14" t="inlineStr">
        <is>
          <t>Stelian</t>
        </is>
      </c>
      <c r="F129" s="21" t="inlineStr">
        <is>
          <t>P1</t>
        </is>
      </c>
      <c r="G129" s="17" t="inlineStr">
        <is>
          <t>Neinceput</t>
        </is>
      </c>
      <c r="H129" s="14" t="inlineStr">
        <is>
          <t>14.09.2026</t>
        </is>
      </c>
      <c r="I129" s="18" t="n">
        <v>0</v>
      </c>
      <c r="J129" s="18" t="inlineStr">
        <is>
          <t>Nu</t>
        </is>
      </c>
      <c r="K129" s="15" t="n"/>
      <c r="L129" s="15" t="n"/>
      <c r="M129" t="inlineStr">
        <is>
          <t>Da</t>
        </is>
      </c>
    </row>
    <row r="130" ht="18" customHeight="1" s="50">
      <c r="A130" s="12" t="inlineStr">
        <is>
          <t>ACT-153</t>
        </is>
      </c>
      <c r="B130" s="13" t="inlineStr">
        <is>
          <t>WS12</t>
        </is>
      </c>
      <c r="C130" s="19" t="inlineStr">
        <is>
          <t>Lansare, marketing, analytics, iterare</t>
        </is>
      </c>
      <c r="D130" s="20" t="inlineStr">
        <is>
          <t>Primul dosar real procesat</t>
        </is>
      </c>
      <c r="E130" s="19" t="inlineStr">
        <is>
          <t>Stelian</t>
        </is>
      </c>
      <c r="F130" s="16" t="inlineStr">
        <is>
          <t>P0</t>
        </is>
      </c>
      <c r="G130" s="17" t="inlineStr">
        <is>
          <t>Neinceput</t>
        </is>
      </c>
      <c r="H130" s="19" t="inlineStr">
        <is>
          <t>21.09.2026</t>
        </is>
      </c>
      <c r="I130" s="13" t="n">
        <v>0</v>
      </c>
      <c r="J130" s="13" t="inlineStr">
        <is>
          <t>Nu</t>
        </is>
      </c>
      <c r="K130" s="20" t="inlineStr">
        <is>
          <t>TARGET PRINCIPAL</t>
        </is>
      </c>
      <c r="L130" s="20" t="n"/>
      <c r="M130" t="inlineStr">
        <is>
          <t>Da</t>
        </is>
      </c>
    </row>
    <row r="131" ht="18" customHeight="1" s="50">
      <c r="A131" s="12" t="inlineStr">
        <is>
          <t>ACT-180</t>
        </is>
      </c>
      <c r="B131" s="13" t="inlineStr">
        <is>
          <t>WS12</t>
        </is>
      </c>
      <c r="C131" s="14" t="inlineStr">
        <is>
          <t>Lansare, marketing, analytics, iterare</t>
        </is>
      </c>
      <c r="D131" s="15" t="inlineStr">
        <is>
          <t>Review 90 de zile si iterare v2</t>
        </is>
      </c>
      <c r="E131" s="14" t="inlineStr">
        <is>
          <t>Stelian</t>
        </is>
      </c>
      <c r="F131" s="22" t="inlineStr">
        <is>
          <t>P2</t>
        </is>
      </c>
      <c r="G131" s="17" t="inlineStr">
        <is>
          <t>Neinceput</t>
        </is>
      </c>
      <c r="H131" s="14" t="inlineStr">
        <is>
          <t>01.11.2026</t>
        </is>
      </c>
      <c r="I131" s="18" t="n">
        <v>0</v>
      </c>
      <c r="J131" s="18" t="inlineStr">
        <is>
          <t>Nu</t>
        </is>
      </c>
      <c r="K131" s="15" t="n"/>
      <c r="L131" s="15" t="n"/>
      <c r="M131" t="inlineStr">
        <is>
          <t>Nu</t>
        </is>
      </c>
    </row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autoFilter ref="A6:L131"/>
  <mergeCells count="2">
    <mergeCell ref="A2:L2"/>
    <mergeCell ref="A1:L1"/>
  </mergeCells>
  <conditionalFormatting sqref="G7:G131">
    <cfRule type="cellIs" priority="1" operator="equal" dxfId="4">
      <formula>"Neinceput"</formula>
    </cfRule>
    <cfRule type="cellIs" priority="2" operator="equal" dxfId="3">
      <formula>"In lucru"</formula>
    </cfRule>
    <cfRule type="cellIs" priority="3" operator="equal" dxfId="2">
      <formula>"Finalizat"</formula>
    </cfRule>
    <cfRule type="cellIs" priority="4" operator="equal" dxfId="0">
      <formula>"Blocat"</formula>
    </cfRule>
  </conditionalFormatting>
  <conditionalFormatting sqref="J7:J131">
    <cfRule type="cellIs" priority="5" operator="equal" dxfId="0">
      <formula>"Da"</formula>
    </cfRule>
  </conditionalFormatting>
  <dataValidations count="2">
    <dataValidation sqref="G7:G131" showDropDown="0" showInputMessage="0" showErrorMessage="1" allowBlank="0" errorTitle="Status invalid" error="Alege: Neinceput, In lucru, Finalizat sau Blocat" type="list">
      <formula1>"Neinceput,In lucru,Finalizat,Blocat"</formula1>
    </dataValidation>
    <dataValidation sqref="J7:J131" showDropDown="0" showInputMessage="0" showErrorMessage="1" allowBlank="0" errorTitle="Valoare invalida" error="Alege: Da sau Nu" type="list">
      <formula1>"Nu,Da"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selection activeCell="A1" sqref="A1"/>
    </sheetView>
  </sheetViews>
  <sheetFormatPr baseColWidth="10" defaultColWidth="8.83203125" defaultRowHeight="15"/>
  <cols>
    <col width="8" customWidth="1" style="50" min="1" max="1"/>
    <col width="36" customWidth="1" style="50" min="2" max="2"/>
    <col width="26" customWidth="1" style="50" min="3" max="3"/>
    <col width="20" customWidth="1" style="50" min="4" max="4"/>
    <col width="14" customWidth="1" style="50" min="5" max="5"/>
    <col width="12" customWidth="1" style="50" min="6" max="7"/>
    <col width="42" customWidth="1" style="50" min="8" max="8"/>
    <col width="16" customWidth="1" style="50" min="9" max="9"/>
  </cols>
  <sheetData>
    <row r="1" ht="30" customHeight="1" s="50">
      <c r="A1" s="52" t="inlineStr">
        <is>
          <t>1ExitBiz.RO — Roadmap Workstream-uri</t>
        </is>
      </c>
    </row>
    <row r="2" ht="22" customHeight="1" s="50">
      <c r="A2" s="23" t="inlineStr">
        <is>
          <t>ID WS</t>
        </is>
      </c>
      <c r="B2" s="23" t="inlineStr">
        <is>
          <t>Workstream</t>
        </is>
      </c>
      <c r="C2" s="23" t="inlineStr">
        <is>
          <t>Owner</t>
        </is>
      </c>
      <c r="D2" s="23" t="inlineStr">
        <is>
          <t>Lead</t>
        </is>
      </c>
      <c r="E2" s="23" t="inlineStr">
        <is>
          <t>Faza</t>
        </is>
      </c>
      <c r="F2" s="23" t="inlineStr">
        <is>
          <t>Start</t>
        </is>
      </c>
      <c r="G2" s="23" t="inlineStr">
        <is>
          <t>End</t>
        </is>
      </c>
      <c r="H2" s="23" t="inlineStr">
        <is>
          <t>Livrabil principal</t>
        </is>
      </c>
      <c r="I2" s="23" t="inlineStr">
        <is>
          <t>Status WS</t>
        </is>
      </c>
    </row>
    <row r="3" ht="28" customHeight="1" s="50">
      <c r="A3" s="23" t="inlineStr">
        <is>
          <t>WS01</t>
        </is>
      </c>
      <c r="B3" s="24" t="inlineStr">
        <is>
          <t>Strategie, guvernanta si scope MVP</t>
        </is>
      </c>
      <c r="C3" s="25" t="inlineStr">
        <is>
          <t>Stelian</t>
        </is>
      </c>
      <c r="D3" s="25" t="inlineStr">
        <is>
          <t>Mihai</t>
        </is>
      </c>
      <c r="E3" s="26" t="inlineStr">
        <is>
          <t>Sapt. 1-2</t>
        </is>
      </c>
      <c r="F3" s="26" t="inlineStr">
        <is>
          <t>01.06.2026</t>
        </is>
      </c>
      <c r="G3" s="26" t="inlineStr">
        <is>
          <t>14.06.2026</t>
        </is>
      </c>
      <c r="H3" s="24" t="inlineStr">
        <is>
          <t>Pozitionare, RACI, backlog, criterii acceptanta</t>
        </is>
      </c>
      <c r="I3" s="27" t="inlineStr">
        <is>
          <t>Neinceput</t>
        </is>
      </c>
    </row>
    <row r="4" ht="28" customHeight="1" s="50">
      <c r="A4" s="23" t="inlineStr">
        <is>
          <t>WS02</t>
        </is>
      </c>
      <c r="B4" s="28" t="inlineStr">
        <is>
          <t>Cadru procedural ONRC, contabil si fiscal</t>
        </is>
      </c>
      <c r="C4" s="29" t="inlineStr">
        <is>
          <t>Stelian</t>
        </is>
      </c>
      <c r="D4" s="29" t="inlineStr">
        <is>
          <t>Consultant</t>
        </is>
      </c>
      <c r="E4" s="30" t="inlineStr">
        <is>
          <t>Sapt. 1-4</t>
        </is>
      </c>
      <c r="F4" s="30" t="inlineStr">
        <is>
          <t>01.06.2026</t>
        </is>
      </c>
      <c r="G4" s="30" t="inlineStr">
        <is>
          <t>28.06.2026</t>
        </is>
      </c>
      <c r="H4" s="28" t="inlineStr">
        <is>
          <t>Fluxuri PFA/SRL, documente, statusuri, disclaimere</t>
        </is>
      </c>
      <c r="I4" s="27" t="inlineStr">
        <is>
          <t>Neinceput</t>
        </is>
      </c>
    </row>
    <row r="5" ht="28" customHeight="1" s="50">
      <c r="A5" s="23" t="inlineStr">
        <is>
          <t>WS03</t>
        </is>
      </c>
      <c r="B5" s="24" t="inlineStr">
        <is>
          <t>Site lead magnet 1ExitBiz.RO</t>
        </is>
      </c>
      <c r="C5" s="25" t="inlineStr">
        <is>
          <t>Stelian</t>
        </is>
      </c>
      <c r="D5" s="25" t="inlineStr">
        <is>
          <t>Mihai</t>
        </is>
      </c>
      <c r="E5" s="26" t="inlineStr">
        <is>
          <t>Sapt. 2-6</t>
        </is>
      </c>
      <c r="F5" s="26" t="inlineStr">
        <is>
          <t>08.06.2026</t>
        </is>
      </c>
      <c r="G5" s="26" t="inlineStr">
        <is>
          <t>14.07.2026</t>
        </is>
      </c>
      <c r="H5" s="24" t="inlineStr">
        <is>
          <t>Site live cu diagnostic, SEO, CTA, CRM</t>
        </is>
      </c>
      <c r="I5" s="27" t="inlineStr">
        <is>
          <t>Neinceput</t>
        </is>
      </c>
    </row>
    <row r="6" ht="28" customHeight="1" s="50">
      <c r="A6" s="23" t="inlineStr">
        <is>
          <t>WS04</t>
        </is>
      </c>
      <c r="B6" s="28" t="inlineStr">
        <is>
          <t>Diagnostic initial si scoring dosar</t>
        </is>
      </c>
      <c r="C6" s="29" t="inlineStr">
        <is>
          <t>Stelian</t>
        </is>
      </c>
      <c r="D6" s="29" t="inlineStr">
        <is>
          <t>Mihai</t>
        </is>
      </c>
      <c r="E6" s="30" t="inlineStr">
        <is>
          <t>Sapt. 3-7</t>
        </is>
      </c>
      <c r="F6" s="30" t="inlineStr">
        <is>
          <t>15.06.2026</t>
        </is>
      </c>
      <c r="G6" s="30" t="inlineStr">
        <is>
          <t>21.07.2026</t>
        </is>
      </c>
      <c r="H6" s="28" t="inlineStr">
        <is>
          <t>Formular diagnostic functional, scoring, conversie lead</t>
        </is>
      </c>
      <c r="I6" s="27" t="inlineStr">
        <is>
          <t>Neinceput</t>
        </is>
      </c>
    </row>
    <row r="7" ht="28" customHeight="1" s="50">
      <c r="A7" s="23" t="inlineStr">
        <is>
          <t>WS05</t>
        </is>
      </c>
      <c r="B7" s="24" t="inlineStr">
        <is>
          <t>Dosar digital si case management</t>
        </is>
      </c>
      <c r="C7" s="25" t="inlineStr">
        <is>
          <t>Stelian</t>
        </is>
      </c>
      <c r="D7" s="25" t="inlineStr">
        <is>
          <t>Mihai</t>
        </is>
      </c>
      <c r="E7" s="26" t="inlineStr">
        <is>
          <t>Sapt. 4-10</t>
        </is>
      </c>
      <c r="F7" s="26" t="inlineStr">
        <is>
          <t>22.06.2026</t>
        </is>
      </c>
      <c r="G7" s="26" t="inlineStr">
        <is>
          <t>07.08.2026</t>
        </is>
      </c>
      <c r="H7" s="24" t="inlineStr">
        <is>
          <t>Dosar digital v1 utilizabil intern</t>
        </is>
      </c>
      <c r="I7" s="27" t="inlineStr">
        <is>
          <t>Neinceput</t>
        </is>
      </c>
    </row>
    <row r="8" ht="28" customHeight="1" s="50">
      <c r="A8" s="23" t="inlineStr">
        <is>
          <t>WS06</t>
        </is>
      </c>
      <c r="B8" s="28" t="inlineStr">
        <is>
          <t>Colaborare pe roluri si task management</t>
        </is>
      </c>
      <c r="C8" s="29" t="inlineStr">
        <is>
          <t>Stelian</t>
        </is>
      </c>
      <c r="D8" s="29" t="inlineStr">
        <is>
          <t>Mihai</t>
        </is>
      </c>
      <c r="E8" s="30" t="inlineStr">
        <is>
          <t>Sapt. 6-11</t>
        </is>
      </c>
      <c r="F8" s="30" t="inlineStr">
        <is>
          <t>07.07.2026</t>
        </is>
      </c>
      <c r="G8" s="30" t="inlineStr">
        <is>
          <t>17.08.2026</t>
        </is>
      </c>
      <c r="H8" s="28" t="inlineStr">
        <is>
          <t>Colaborare interna + 1-2 parteneri pilot</t>
        </is>
      </c>
      <c r="I8" s="27" t="inlineStr">
        <is>
          <t>Neinceput</t>
        </is>
      </c>
    </row>
    <row r="9" ht="28" customHeight="1" s="50">
      <c r="A9" s="23" t="inlineStr">
        <is>
          <t>WS07</t>
        </is>
      </c>
      <c r="B9" s="24" t="inlineStr">
        <is>
          <t>AI Assistant operational</t>
        </is>
      </c>
      <c r="C9" s="25" t="inlineStr">
        <is>
          <t>Stelian</t>
        </is>
      </c>
      <c r="D9" s="25" t="inlineStr">
        <is>
          <t>Mihai</t>
        </is>
      </c>
      <c r="E9" s="26" t="inlineStr">
        <is>
          <t>Sapt. 7-12</t>
        </is>
      </c>
      <c r="F9" s="26" t="inlineStr">
        <is>
          <t>14.07.2026</t>
        </is>
      </c>
      <c r="G9" s="26" t="inlineStr">
        <is>
          <t>27.08.2026</t>
        </is>
      </c>
      <c r="H9" s="24" t="inlineStr">
        <is>
          <t>AI Assistant v1 disponibil operatorului</t>
        </is>
      </c>
      <c r="I9" s="27" t="inlineStr">
        <is>
          <t>Neinceput</t>
        </is>
      </c>
    </row>
    <row r="10" ht="28" customHeight="1" s="50">
      <c r="A10" s="23" t="inlineStr">
        <is>
          <t>WS08</t>
        </is>
      </c>
      <c r="B10" s="28" t="inlineStr">
        <is>
          <t>API-uri si servicii externe de date</t>
        </is>
      </c>
      <c r="C10" s="29" t="inlineStr">
        <is>
          <t>Stelian</t>
        </is>
      </c>
      <c r="D10" s="29" t="inlineStr">
        <is>
          <t>Mihai</t>
        </is>
      </c>
      <c r="E10" s="30" t="inlineStr">
        <is>
          <t>Sapt. 5-13</t>
        </is>
      </c>
      <c r="F10" s="30" t="inlineStr">
        <is>
          <t>02.07.2026</t>
        </is>
      </c>
      <c r="G10" s="30" t="inlineStr">
        <is>
          <t>24.07.2026</t>
        </is>
      </c>
      <c r="H10" s="28" t="inlineStr">
        <is>
          <t>FirmeAPI integrat, fallback manual documentat</t>
        </is>
      </c>
      <c r="I10" s="27" t="inlineStr">
        <is>
          <t>Neinceput</t>
        </is>
      </c>
    </row>
    <row r="11" ht="28" customHeight="1" s="50">
      <c r="A11" s="23" t="inlineStr">
        <is>
          <t>WS09</t>
        </is>
      </c>
      <c r="B11" s="24" t="inlineStr">
        <is>
          <t>Plati, documente, notificari, semnare</t>
        </is>
      </c>
      <c r="C11" s="25" t="inlineStr">
        <is>
          <t>Stelian</t>
        </is>
      </c>
      <c r="D11" s="25" t="inlineStr">
        <is>
          <t>Mihai</t>
        </is>
      </c>
      <c r="E11" s="26" t="inlineStr">
        <is>
          <t>Sapt. 8-14</t>
        </is>
      </c>
      <c r="F11" s="26" t="inlineStr">
        <is>
          <t>21.08.2026</t>
        </is>
      </c>
      <c r="G11" s="26" t="inlineStr">
        <is>
          <t>17.09.2026</t>
        </is>
      </c>
      <c r="H11" s="24" t="inlineStr">
        <is>
          <t>Plati functionale, notificari, generare documente</t>
        </is>
      </c>
      <c r="I11" s="27" t="inlineStr">
        <is>
          <t>Neinceput</t>
        </is>
      </c>
    </row>
    <row r="12" ht="28" customHeight="1" s="50">
      <c r="A12" s="23" t="inlineStr">
        <is>
          <t>WS10</t>
        </is>
      </c>
      <c r="B12" s="28" t="inlineStr">
        <is>
          <t>Securitate, GDPR, audit trail si QA</t>
        </is>
      </c>
      <c r="C12" s="29" t="inlineStr">
        <is>
          <t>Stelian</t>
        </is>
      </c>
      <c r="D12" s="29" t="inlineStr">
        <is>
          <t>Mihai</t>
        </is>
      </c>
      <c r="E12" s="30" t="inlineStr">
        <is>
          <t>Sapt. 8-15</t>
        </is>
      </c>
      <c r="F12" s="30" t="inlineStr">
        <is>
          <t>21.08.2026</t>
        </is>
      </c>
      <c r="G12" s="30" t="inlineStr">
        <is>
          <t>24.09.2026</t>
        </is>
      </c>
      <c r="H12" s="28" t="inlineStr">
        <is>
          <t>Securitate confirmata, GDPR complet, QA trecut</t>
        </is>
      </c>
      <c r="I12" s="27" t="inlineStr">
        <is>
          <t>Neinceput</t>
        </is>
      </c>
    </row>
    <row r="13" ht="28" customHeight="1" s="50">
      <c r="A13" s="23" t="inlineStr">
        <is>
          <t>WS11</t>
        </is>
      </c>
      <c r="B13" s="24" t="inlineStr">
        <is>
          <t>Retea parteneri, monetizare, operatiuni</t>
        </is>
      </c>
      <c r="C13" s="25" t="inlineStr">
        <is>
          <t>Stelian</t>
        </is>
      </c>
      <c r="D13" s="25" t="inlineStr">
        <is>
          <t>Stelian</t>
        </is>
      </c>
      <c r="E13" s="26" t="inlineStr">
        <is>
          <t>Sapt. 2-16</t>
        </is>
      </c>
      <c r="F13" s="26" t="inlineStr">
        <is>
          <t>08.06.2026</t>
        </is>
      </c>
      <c r="G13" s="26" t="inlineStr">
        <is>
          <t>01.10.2026</t>
        </is>
      </c>
      <c r="H13" s="24" t="inlineStr">
        <is>
          <t>3+ contabili activi, 2+ lichidatori, pachete finalizate</t>
        </is>
      </c>
      <c r="I13" s="27" t="inlineStr">
        <is>
          <t>Neinceput</t>
        </is>
      </c>
    </row>
    <row r="14" ht="28" customHeight="1" s="50">
      <c r="A14" s="23" t="inlineStr">
        <is>
          <t>WS12</t>
        </is>
      </c>
      <c r="B14" s="28" t="inlineStr">
        <is>
          <t>Lansare, marketing, analytics, iterare</t>
        </is>
      </c>
      <c r="C14" s="29" t="inlineStr">
        <is>
          <t>Stelian</t>
        </is>
      </c>
      <c r="D14" s="29" t="inlineStr">
        <is>
          <t>Mihai</t>
        </is>
      </c>
      <c r="E14" s="30" t="inlineStr">
        <is>
          <t>Sapt. 10-16</t>
        </is>
      </c>
      <c r="F14" s="30" t="inlineStr">
        <is>
          <t>07.09.2026</t>
        </is>
      </c>
      <c r="G14" s="30" t="inlineStr">
        <is>
          <t>01.11.2026</t>
        </is>
      </c>
      <c r="H14" s="28" t="inlineStr">
        <is>
          <t>Lansare publica, primul dosar real, review 90 zile</t>
        </is>
      </c>
      <c r="I14" s="27" t="inlineStr">
        <is>
          <t>Neinceput</t>
        </is>
      </c>
    </row>
  </sheetData>
  <mergeCells count="1">
    <mergeCell ref="A1:I1"/>
  </mergeCells>
  <conditionalFormatting sqref="I3:I14">
    <cfRule type="cellIs" priority="1" operator="equal" dxfId="4">
      <formula>"Neinceput"</formula>
    </cfRule>
    <cfRule type="cellIs" priority="2" operator="equal" dxfId="3">
      <formula>"In lucru"</formula>
    </cfRule>
    <cfRule type="cellIs" priority="3" operator="equal" dxfId="2">
      <formula>"Finalizat"</formula>
    </cfRule>
    <cfRule type="cellIs" priority="4" operator="equal" dxfId="0">
      <formula>"Blocat"</formula>
    </cfRule>
  </conditionalFormatting>
  <dataValidations count="1">
    <dataValidation sqref="I3:I14" showDropDown="0" showInputMessage="0" showErrorMessage="0" allowBlank="0" type="list">
      <formula1>"Neinceput,In lucru,Finalizat,Blocat"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selection activeCell="A1" sqref="A1"/>
    </sheetView>
  </sheetViews>
  <sheetFormatPr baseColWidth="10" defaultColWidth="8.83203125" defaultRowHeight="15"/>
  <cols>
    <col width="10" customWidth="1" style="50" min="1" max="1"/>
    <col width="7" customWidth="1" style="50" min="2" max="2"/>
    <col width="50" customWidth="1" style="50" min="3" max="3"/>
    <col width="22" customWidth="1" style="50" min="4" max="4"/>
    <col width="12" customWidth="1" style="50" min="5" max="5"/>
    <col width="14" customWidth="1" style="50" min="6" max="6"/>
    <col width="10" customWidth="1" style="50" min="7" max="7"/>
    <col width="32" customWidth="1" style="50" min="8" max="8"/>
  </cols>
  <sheetData>
    <row r="1" ht="28" customHeight="1" s="50">
      <c r="A1" s="53" t="inlineStr">
        <is>
          <t>1ExitBiz.RO — Actiuni P0 (Critical Path) — 32 actiuni</t>
        </is>
      </c>
    </row>
    <row r="2" ht="22" customHeight="1" s="50">
      <c r="A2" s="31" t="inlineStr">
        <is>
          <t>ID</t>
        </is>
      </c>
      <c r="B2" s="31" t="inlineStr">
        <is>
          <t>WS</t>
        </is>
      </c>
      <c r="C2" s="31" t="inlineStr">
        <is>
          <t>Task / Actiune P0</t>
        </is>
      </c>
      <c r="D2" s="31" t="inlineStr">
        <is>
          <t>Owner</t>
        </is>
      </c>
      <c r="E2" s="31" t="inlineStr">
        <is>
          <t>Data tinta</t>
        </is>
      </c>
      <c r="F2" s="31" t="inlineStr">
        <is>
          <t>Status</t>
        </is>
      </c>
      <c r="G2" s="31" t="inlineStr">
        <is>
          <t>Blocat?</t>
        </is>
      </c>
      <c r="H2" s="31" t="inlineStr">
        <is>
          <t>Note</t>
        </is>
      </c>
    </row>
    <row r="3" ht="18" customHeight="1" s="50">
      <c r="A3" s="32" t="inlineStr">
        <is>
          <t>ACT-001</t>
        </is>
      </c>
      <c r="B3" s="26" t="inlineStr">
        <is>
          <t>WS01</t>
        </is>
      </c>
      <c r="C3" s="24" t="inlineStr">
        <is>
          <t>Definire document decizie produs</t>
        </is>
      </c>
      <c r="D3" s="25" t="inlineStr">
        <is>
          <t>Stelian</t>
        </is>
      </c>
      <c r="E3" s="26" t="inlineStr">
        <is>
          <t>01.06.2026</t>
        </is>
      </c>
      <c r="F3" s="27" t="inlineStr">
        <is>
          <t>Neinceput</t>
        </is>
      </c>
      <c r="G3" s="26" t="inlineStr">
        <is>
          <t>Nu</t>
        </is>
      </c>
      <c r="H3" s="24" t="n"/>
    </row>
    <row r="4" ht="18" customHeight="1" s="50">
      <c r="A4" s="32" t="inlineStr">
        <is>
          <t>ACT-002</t>
        </is>
      </c>
      <c r="B4" s="33" t="inlineStr">
        <is>
          <t>WS01</t>
        </is>
      </c>
      <c r="C4" s="34" t="inlineStr">
        <is>
          <t>Stabilire obiective MVP</t>
        </is>
      </c>
      <c r="D4" s="35" t="inlineStr">
        <is>
          <t>Stelian</t>
        </is>
      </c>
      <c r="E4" s="33" t="inlineStr">
        <is>
          <t>01.06.2026</t>
        </is>
      </c>
      <c r="F4" s="27" t="inlineStr">
        <is>
          <t>Neinceput</t>
        </is>
      </c>
      <c r="G4" s="33" t="inlineStr">
        <is>
          <t>Nu</t>
        </is>
      </c>
      <c r="H4" s="34" t="n"/>
    </row>
    <row r="5" ht="18" customHeight="1" s="50">
      <c r="A5" s="32" t="inlineStr">
        <is>
          <t>ACT-003</t>
        </is>
      </c>
      <c r="B5" s="26" t="inlineStr">
        <is>
          <t>WS01</t>
        </is>
      </c>
      <c r="C5" s="24" t="inlineStr">
        <is>
          <t>Stabilire reguli de scope</t>
        </is>
      </c>
      <c r="D5" s="25" t="inlineStr">
        <is>
          <t>Stelian</t>
        </is>
      </c>
      <c r="E5" s="26" t="inlineStr">
        <is>
          <t>02.06.2026</t>
        </is>
      </c>
      <c r="F5" s="27" t="inlineStr">
        <is>
          <t>Neinceput</t>
        </is>
      </c>
      <c r="G5" s="26" t="inlineStr">
        <is>
          <t>Nu</t>
        </is>
      </c>
      <c r="H5" s="24" t="inlineStr">
        <is>
          <t>Dep: ACT-002</t>
        </is>
      </c>
    </row>
    <row r="6" ht="18" customHeight="1" s="50">
      <c r="A6" s="32" t="inlineStr">
        <is>
          <t>ACT-004</t>
        </is>
      </c>
      <c r="B6" s="33" t="inlineStr">
        <is>
          <t>WS01</t>
        </is>
      </c>
      <c r="C6" s="34" t="inlineStr">
        <is>
          <t>Stabilire vocabular unic</t>
        </is>
      </c>
      <c r="D6" s="35" t="inlineStr">
        <is>
          <t>Stelian</t>
        </is>
      </c>
      <c r="E6" s="33" t="inlineStr">
        <is>
          <t>03.06.2026</t>
        </is>
      </c>
      <c r="F6" s="27" t="inlineStr">
        <is>
          <t>Neinceput</t>
        </is>
      </c>
      <c r="G6" s="33" t="inlineStr">
        <is>
          <t>Nu</t>
        </is>
      </c>
      <c r="H6" s="34" t="n"/>
    </row>
    <row r="7" ht="18" customHeight="1" s="50">
      <c r="A7" s="32" t="inlineStr">
        <is>
          <t>ACT-005</t>
        </is>
      </c>
      <c r="B7" s="26" t="inlineStr">
        <is>
          <t>WS01</t>
        </is>
      </c>
      <c r="C7" s="24" t="inlineStr">
        <is>
          <t>Stabilire pachete comerciale initiale</t>
        </is>
      </c>
      <c r="D7" s="25" t="inlineStr">
        <is>
          <t>Stelian</t>
        </is>
      </c>
      <c r="E7" s="26" t="inlineStr">
        <is>
          <t>07.06.2026</t>
        </is>
      </c>
      <c r="F7" s="27" t="inlineStr">
        <is>
          <t>Neinceput</t>
        </is>
      </c>
      <c r="G7" s="26" t="inlineStr">
        <is>
          <t>Nu</t>
        </is>
      </c>
      <c r="H7" s="24" t="n"/>
    </row>
    <row r="8" ht="18" customHeight="1" s="50">
      <c r="A8" s="32" t="inlineStr">
        <is>
          <t>ACT-006</t>
        </is>
      </c>
      <c r="B8" s="33" t="inlineStr">
        <is>
          <t>WS01</t>
        </is>
      </c>
      <c r="C8" s="34" t="inlineStr">
        <is>
          <t>Creare backlog central</t>
        </is>
      </c>
      <c r="D8" s="35" t="inlineStr">
        <is>
          <t>Stelian</t>
        </is>
      </c>
      <c r="E8" s="33" t="inlineStr">
        <is>
          <t>05.06.2026</t>
        </is>
      </c>
      <c r="F8" s="27" t="inlineStr">
        <is>
          <t>Neinceput</t>
        </is>
      </c>
      <c r="G8" s="33" t="inlineStr">
        <is>
          <t>Nu</t>
        </is>
      </c>
      <c r="H8" s="34" t="inlineStr">
        <is>
          <t>Dep: ACT-005</t>
        </is>
      </c>
    </row>
    <row r="9" ht="18" customHeight="1" s="50">
      <c r="A9" s="32" t="inlineStr">
        <is>
          <t>ACT-007</t>
        </is>
      </c>
      <c r="B9" s="26" t="inlineStr">
        <is>
          <t>WS01</t>
        </is>
      </c>
      <c r="C9" s="24" t="inlineStr">
        <is>
          <t>Stabilire RACI proiect</t>
        </is>
      </c>
      <c r="D9" s="25" t="inlineStr">
        <is>
          <t>Stelian</t>
        </is>
      </c>
      <c r="E9" s="26" t="inlineStr">
        <is>
          <t>07.06.2026</t>
        </is>
      </c>
      <c r="F9" s="27" t="inlineStr">
        <is>
          <t>Neinceput</t>
        </is>
      </c>
      <c r="G9" s="26" t="inlineStr">
        <is>
          <t>Nu</t>
        </is>
      </c>
      <c r="H9" s="24" t="n"/>
    </row>
    <row r="10" ht="18" customHeight="1" s="50">
      <c r="A10" s="32" t="inlineStr">
        <is>
          <t>ACT-008</t>
        </is>
      </c>
      <c r="B10" s="33" t="inlineStr">
        <is>
          <t>WS01</t>
        </is>
      </c>
      <c r="C10" s="34" t="inlineStr">
        <is>
          <t>Stabilire criterii de acceptanta</t>
        </is>
      </c>
      <c r="D10" s="35" t="inlineStr">
        <is>
          <t>Stelian</t>
        </is>
      </c>
      <c r="E10" s="33" t="inlineStr">
        <is>
          <t>08.06.2026</t>
        </is>
      </c>
      <c r="F10" s="27" t="inlineStr">
        <is>
          <t>Neinceput</t>
        </is>
      </c>
      <c r="G10" s="33" t="inlineStr">
        <is>
          <t>Nu</t>
        </is>
      </c>
      <c r="H10" s="34" t="n"/>
    </row>
    <row r="11" ht="18" customHeight="1" s="50">
      <c r="A11" s="32" t="inlineStr">
        <is>
          <t>ACT-016</t>
        </is>
      </c>
      <c r="B11" s="26" t="inlineStr">
        <is>
          <t>WS02</t>
        </is>
      </c>
      <c r="C11" s="24" t="inlineStr">
        <is>
          <t>Inventariere proceduri ONRC</t>
        </is>
      </c>
      <c r="D11" s="25" t="inlineStr">
        <is>
          <t>Stelian</t>
        </is>
      </c>
      <c r="E11" s="26" t="inlineStr">
        <is>
          <t>01.06.2026</t>
        </is>
      </c>
      <c r="F11" s="27" t="inlineStr">
        <is>
          <t>Neinceput</t>
        </is>
      </c>
      <c r="G11" s="26" t="inlineStr">
        <is>
          <t>Nu</t>
        </is>
      </c>
      <c r="H11" s="24" t="n"/>
    </row>
    <row r="12" ht="18" customHeight="1" s="50">
      <c r="A12" s="32" t="inlineStr">
        <is>
          <t>ACT-017</t>
        </is>
      </c>
      <c r="B12" s="33" t="inlineStr">
        <is>
          <t>WS02</t>
        </is>
      </c>
      <c r="C12" s="34" t="inlineStr">
        <is>
          <t>Validare radiere PFA</t>
        </is>
      </c>
      <c r="D12" s="35" t="inlineStr">
        <is>
          <t>Stelian</t>
        </is>
      </c>
      <c r="E12" s="33" t="inlineStr">
        <is>
          <t>02.06.2026</t>
        </is>
      </c>
      <c r="F12" s="27" t="inlineStr">
        <is>
          <t>Neinceput</t>
        </is>
      </c>
      <c r="G12" s="33" t="inlineStr">
        <is>
          <t>Nu</t>
        </is>
      </c>
      <c r="H12" s="34" t="n"/>
    </row>
    <row r="13" ht="18" customHeight="1" s="50">
      <c r="A13" s="32" t="inlineStr">
        <is>
          <t>ACT-018</t>
        </is>
      </c>
      <c r="B13" s="26" t="inlineStr">
        <is>
          <t>WS02</t>
        </is>
      </c>
      <c r="C13" s="24" t="inlineStr">
        <is>
          <t>Validare SRL dizolvare/lichidare simultana</t>
        </is>
      </c>
      <c r="D13" s="25" t="inlineStr">
        <is>
          <t>Stelian</t>
        </is>
      </c>
      <c r="E13" s="26" t="inlineStr">
        <is>
          <t>05.06.2026</t>
        </is>
      </c>
      <c r="F13" s="27" t="inlineStr">
        <is>
          <t>Neinceput</t>
        </is>
      </c>
      <c r="G13" s="26" t="inlineStr">
        <is>
          <t>Nu</t>
        </is>
      </c>
      <c r="H13" s="24" t="inlineStr">
        <is>
          <t>Dep: ACT-017</t>
        </is>
      </c>
    </row>
    <row r="14" ht="18" customHeight="1" s="50">
      <c r="A14" s="32" t="inlineStr">
        <is>
          <t>ACT-019</t>
        </is>
      </c>
      <c r="B14" s="33" t="inlineStr">
        <is>
          <t>WS02</t>
        </is>
      </c>
      <c r="C14" s="34" t="inlineStr">
        <is>
          <t>Validare SRL cu lichidator</t>
        </is>
      </c>
      <c r="D14" s="35" t="inlineStr">
        <is>
          <t>Stelian</t>
        </is>
      </c>
      <c r="E14" s="33" t="inlineStr">
        <is>
          <t>08.06.2026</t>
        </is>
      </c>
      <c r="F14" s="27" t="inlineStr">
        <is>
          <t>Neinceput</t>
        </is>
      </c>
      <c r="G14" s="33" t="inlineStr">
        <is>
          <t>Nu</t>
        </is>
      </c>
      <c r="H14" s="34" t="n"/>
    </row>
    <row r="15" ht="18" customHeight="1" s="50">
      <c r="A15" s="32" t="inlineStr">
        <is>
          <t>ACT-020</t>
        </is>
      </c>
      <c r="B15" s="26" t="inlineStr">
        <is>
          <t>WS02</t>
        </is>
      </c>
      <c r="C15" s="24" t="inlineStr">
        <is>
          <t>Definire intrebari risc fiscal</t>
        </is>
      </c>
      <c r="D15" s="25" t="inlineStr">
        <is>
          <t>Stelian</t>
        </is>
      </c>
      <c r="E15" s="26" t="inlineStr">
        <is>
          <t>13.06.2026</t>
        </is>
      </c>
      <c r="F15" s="27" t="inlineStr">
        <is>
          <t>Neinceput</t>
        </is>
      </c>
      <c r="G15" s="26" t="inlineStr">
        <is>
          <t>Nu</t>
        </is>
      </c>
      <c r="H15" s="24" t="n"/>
    </row>
    <row r="16" ht="18" customHeight="1" s="50">
      <c r="A16" s="32" t="inlineStr">
        <is>
          <t>ACT-021</t>
        </is>
      </c>
      <c r="B16" s="33" t="inlineStr">
        <is>
          <t>WS02</t>
        </is>
      </c>
      <c r="C16" s="34" t="inlineStr">
        <is>
          <t>Definire documente obligatorii</t>
        </is>
      </c>
      <c r="D16" s="35" t="inlineStr">
        <is>
          <t>Stelian</t>
        </is>
      </c>
      <c r="E16" s="33" t="inlineStr">
        <is>
          <t>13.06.2026</t>
        </is>
      </c>
      <c r="F16" s="27" t="inlineStr">
        <is>
          <t>Neinceput</t>
        </is>
      </c>
      <c r="G16" s="33" t="inlineStr">
        <is>
          <t>Nu</t>
        </is>
      </c>
      <c r="H16" s="34" t="inlineStr">
        <is>
          <t>Dep: ACT-020</t>
        </is>
      </c>
    </row>
    <row r="17" ht="18" customHeight="1" s="50">
      <c r="A17" s="32" t="inlineStr">
        <is>
          <t>ACT-022</t>
        </is>
      </c>
      <c r="B17" s="26" t="inlineStr">
        <is>
          <t>WS02</t>
        </is>
      </c>
      <c r="C17" s="24" t="inlineStr">
        <is>
          <t>Definire documente optionale</t>
        </is>
      </c>
      <c r="D17" s="25" t="inlineStr">
        <is>
          <t>Stelian</t>
        </is>
      </c>
      <c r="E17" s="26" t="inlineStr">
        <is>
          <t>15.06.2026</t>
        </is>
      </c>
      <c r="F17" s="27" t="inlineStr">
        <is>
          <t>Neinceput</t>
        </is>
      </c>
      <c r="G17" s="26" t="inlineStr">
        <is>
          <t>Nu</t>
        </is>
      </c>
      <c r="H17" s="24" t="n"/>
    </row>
    <row r="18" ht="18" customHeight="1" s="50">
      <c r="A18" s="32" t="inlineStr">
        <is>
          <t>ACT-023</t>
        </is>
      </c>
      <c r="B18" s="33" t="inlineStr">
        <is>
          <t>WS02</t>
        </is>
      </c>
      <c r="C18" s="34" t="inlineStr">
        <is>
          <t>Definire statusuri ONRC</t>
        </is>
      </c>
      <c r="D18" s="35" t="inlineStr">
        <is>
          <t>Stelian</t>
        </is>
      </c>
      <c r="E18" s="33" t="inlineStr">
        <is>
          <t>17.06.2026</t>
        </is>
      </c>
      <c r="F18" s="27" t="inlineStr">
        <is>
          <t>Neinceput</t>
        </is>
      </c>
      <c r="G18" s="33" t="inlineStr">
        <is>
          <t>Nu</t>
        </is>
      </c>
      <c r="H18" s="34" t="n"/>
    </row>
    <row r="19" ht="18" customHeight="1" s="50">
      <c r="A19" s="32" t="inlineStr">
        <is>
          <t>ACT-061</t>
        </is>
      </c>
      <c r="B19" s="26" t="inlineStr">
        <is>
          <t>WS05</t>
        </is>
      </c>
      <c r="C19" s="24" t="inlineStr">
        <is>
          <t>Schema baza de date dosare (Supabase)</t>
        </is>
      </c>
      <c r="D19" s="25" t="inlineStr">
        <is>
          <t>Mihai</t>
        </is>
      </c>
      <c r="E19" s="26" t="inlineStr">
        <is>
          <t>22.06.2026</t>
        </is>
      </c>
      <c r="F19" s="27" t="inlineStr">
        <is>
          <t>Neinceput</t>
        </is>
      </c>
      <c r="G19" s="26" t="inlineStr">
        <is>
          <t>Nu</t>
        </is>
      </c>
      <c r="H19" s="24" t="n"/>
    </row>
    <row r="20" ht="18" customHeight="1" s="50">
      <c r="A20" s="32" t="inlineStr">
        <is>
          <t>ACT-062</t>
        </is>
      </c>
      <c r="B20" s="33" t="inlineStr">
        <is>
          <t>WS05</t>
        </is>
      </c>
      <c r="C20" s="34" t="inlineStr">
        <is>
          <t>Model fisa dosar</t>
        </is>
      </c>
      <c r="D20" s="35" t="inlineStr">
        <is>
          <t>Mihai</t>
        </is>
      </c>
      <c r="E20" s="33" t="inlineStr">
        <is>
          <t>25.06.2026</t>
        </is>
      </c>
      <c r="F20" s="27" t="inlineStr">
        <is>
          <t>Neinceput</t>
        </is>
      </c>
      <c r="G20" s="33" t="inlineStr">
        <is>
          <t>Nu</t>
        </is>
      </c>
      <c r="H20" s="34" t="n"/>
    </row>
    <row r="21" ht="18" customHeight="1" s="50">
      <c r="A21" s="32" t="inlineStr">
        <is>
          <t>ACT-063</t>
        </is>
      </c>
      <c r="B21" s="26" t="inlineStr">
        <is>
          <t>WS05</t>
        </is>
      </c>
      <c r="C21" s="24" t="inlineStr">
        <is>
          <t>Upload documente (PDF/DOCX/JPG)</t>
        </is>
      </c>
      <c r="D21" s="25" t="inlineStr">
        <is>
          <t>Mihai</t>
        </is>
      </c>
      <c r="E21" s="26" t="inlineStr">
        <is>
          <t>29.06.2026</t>
        </is>
      </c>
      <c r="F21" s="27" t="inlineStr">
        <is>
          <t>Neinceput</t>
        </is>
      </c>
      <c r="G21" s="26" t="inlineStr">
        <is>
          <t>Nu</t>
        </is>
      </c>
      <c r="H21" s="24" t="inlineStr">
        <is>
          <t>Dep: ACT-062</t>
        </is>
      </c>
    </row>
    <row r="22" ht="18" customHeight="1" s="50">
      <c r="A22" s="32" t="inlineStr">
        <is>
          <t>ACT-064</t>
        </is>
      </c>
      <c r="B22" s="33" t="inlineStr">
        <is>
          <t>WS05</t>
        </is>
      </c>
      <c r="C22" s="34" t="inlineStr">
        <is>
          <t>Catalog documente</t>
        </is>
      </c>
      <c r="D22" s="35" t="inlineStr">
        <is>
          <t>Mihai</t>
        </is>
      </c>
      <c r="E22" s="33" t="inlineStr">
        <is>
          <t>02.07.2026</t>
        </is>
      </c>
      <c r="F22" s="27" t="inlineStr">
        <is>
          <t>Neinceput</t>
        </is>
      </c>
      <c r="G22" s="33" t="inlineStr">
        <is>
          <t>Nu</t>
        </is>
      </c>
      <c r="H22" s="34" t="n"/>
    </row>
    <row r="23" ht="18" customHeight="1" s="50">
      <c r="A23" s="32" t="inlineStr">
        <is>
          <t>ACT-065</t>
        </is>
      </c>
      <c r="B23" s="26" t="inlineStr">
        <is>
          <t>WS05</t>
        </is>
      </c>
      <c r="C23" s="24" t="inlineStr">
        <is>
          <t>Documente lipsa (missing/received/verified)</t>
        </is>
      </c>
      <c r="D23" s="25" t="inlineStr">
        <is>
          <t>Mihai</t>
        </is>
      </c>
      <c r="E23" s="26" t="inlineStr">
        <is>
          <t>08.07.2026</t>
        </is>
      </c>
      <c r="F23" s="27" t="inlineStr">
        <is>
          <t>Neinceput</t>
        </is>
      </c>
      <c r="G23" s="26" t="inlineStr">
        <is>
          <t>Nu</t>
        </is>
      </c>
      <c r="H23" s="24" t="n"/>
    </row>
    <row r="24" ht="18" customHeight="1" s="50">
      <c r="A24" s="32" t="inlineStr">
        <is>
          <t>ACT-066</t>
        </is>
      </c>
      <c r="B24" s="33" t="inlineStr">
        <is>
          <t>WS05</t>
        </is>
      </c>
      <c r="C24" s="34" t="inlineStr">
        <is>
          <t>Status dosar principal</t>
        </is>
      </c>
      <c r="D24" s="35" t="inlineStr">
        <is>
          <t>Mihai</t>
        </is>
      </c>
      <c r="E24" s="33" t="inlineStr">
        <is>
          <t>09.07.2026</t>
        </is>
      </c>
      <c r="F24" s="27" t="inlineStr">
        <is>
          <t>Neinceput</t>
        </is>
      </c>
      <c r="G24" s="33" t="inlineStr">
        <is>
          <t>Nu</t>
        </is>
      </c>
      <c r="H24" s="34" t="inlineStr">
        <is>
          <t>Dep: ACT-065</t>
        </is>
      </c>
    </row>
    <row r="25" ht="18" customHeight="1" s="50">
      <c r="A25" s="32" t="inlineStr">
        <is>
          <t>ACT-067</t>
        </is>
      </c>
      <c r="B25" s="26" t="inlineStr">
        <is>
          <t>WS05</t>
        </is>
      </c>
      <c r="C25" s="24" t="inlineStr">
        <is>
          <t>Istoric actiuni / audit trail</t>
        </is>
      </c>
      <c r="D25" s="25" t="inlineStr">
        <is>
          <t>Mihai</t>
        </is>
      </c>
      <c r="E25" s="26" t="inlineStr">
        <is>
          <t>12.07.2026</t>
        </is>
      </c>
      <c r="F25" s="27" t="inlineStr">
        <is>
          <t>Neinceput</t>
        </is>
      </c>
      <c r="G25" s="26" t="inlineStr">
        <is>
          <t>Nu</t>
        </is>
      </c>
      <c r="H25" s="24" t="n"/>
    </row>
    <row r="26" ht="18" customHeight="1" s="50">
      <c r="A26" s="32" t="inlineStr">
        <is>
          <t>ACT-068</t>
        </is>
      </c>
      <c r="B26" s="33" t="inlineStr">
        <is>
          <t>WS05</t>
        </is>
      </c>
      <c r="C26" s="34" t="inlineStr">
        <is>
          <t>Note interne operator</t>
        </is>
      </c>
      <c r="D26" s="35" t="inlineStr">
        <is>
          <t>Mihai</t>
        </is>
      </c>
      <c r="E26" s="33" t="inlineStr">
        <is>
          <t>15.07.2026</t>
        </is>
      </c>
      <c r="F26" s="27" t="inlineStr">
        <is>
          <t>Neinceput</t>
        </is>
      </c>
      <c r="G26" s="33" t="inlineStr">
        <is>
          <t>Nu</t>
        </is>
      </c>
      <c r="H26" s="34" t="n"/>
    </row>
    <row r="27" ht="18" customHeight="1" s="50">
      <c r="A27" s="32" t="inlineStr">
        <is>
          <t>ACT-131</t>
        </is>
      </c>
      <c r="B27" s="26" t="inlineStr">
        <is>
          <t>WS10</t>
        </is>
      </c>
      <c r="C27" s="24" t="inlineStr">
        <is>
          <t>Politica de retentie date si documente</t>
        </is>
      </c>
      <c r="D27" s="25" t="inlineStr">
        <is>
          <t>Mihai</t>
        </is>
      </c>
      <c r="E27" s="26" t="inlineStr">
        <is>
          <t>21.08.2026</t>
        </is>
      </c>
      <c r="F27" s="27" t="inlineStr">
        <is>
          <t>Neinceput</t>
        </is>
      </c>
      <c r="G27" s="26" t="inlineStr">
        <is>
          <t>Nu</t>
        </is>
      </c>
      <c r="H27" s="24" t="n"/>
    </row>
    <row r="28" ht="18" customHeight="1" s="50">
      <c r="A28" s="32" t="inlineStr">
        <is>
          <t>ACT-132</t>
        </is>
      </c>
      <c r="B28" s="33" t="inlineStr">
        <is>
          <t>WS10</t>
        </is>
      </c>
      <c r="C28" s="34" t="inlineStr">
        <is>
          <t>GDPR — consimtamant si drepturi utilizator</t>
        </is>
      </c>
      <c r="D28" s="35" t="inlineStr">
        <is>
          <t>Stelian</t>
        </is>
      </c>
      <c r="E28" s="33" t="inlineStr">
        <is>
          <t>25.08.2026</t>
        </is>
      </c>
      <c r="F28" s="27" t="inlineStr">
        <is>
          <t>Neinceput</t>
        </is>
      </c>
      <c r="G28" s="33" t="inlineStr">
        <is>
          <t>Nu</t>
        </is>
      </c>
      <c r="H28" s="34" t="n"/>
    </row>
    <row r="29" ht="18" customHeight="1" s="50">
      <c r="A29" s="32" t="inlineStr">
        <is>
          <t>ACT-141</t>
        </is>
      </c>
      <c r="B29" s="26" t="inlineStr">
        <is>
          <t>WS11</t>
        </is>
      </c>
      <c r="C29" s="24" t="inlineStr">
        <is>
          <t>Identificare si contactare contabili pilot</t>
        </is>
      </c>
      <c r="D29" s="25" t="inlineStr">
        <is>
          <t>Stelian</t>
        </is>
      </c>
      <c r="E29" s="26" t="inlineStr">
        <is>
          <t>08.06.2026</t>
        </is>
      </c>
      <c r="F29" s="27" t="inlineStr">
        <is>
          <t>Neinceput</t>
        </is>
      </c>
      <c r="G29" s="26" t="inlineStr">
        <is>
          <t>Nu</t>
        </is>
      </c>
      <c r="H29" s="24" t="n"/>
    </row>
    <row r="30" ht="18" customHeight="1" s="50">
      <c r="A30" s="32" t="inlineStr">
        <is>
          <t>ACT-142</t>
        </is>
      </c>
      <c r="B30" s="33" t="inlineStr">
        <is>
          <t>WS11</t>
        </is>
      </c>
      <c r="C30" s="34" t="inlineStr">
        <is>
          <t>Identificare si contactare lichidatori pilot</t>
        </is>
      </c>
      <c r="D30" s="35" t="inlineStr">
        <is>
          <t>Stelian</t>
        </is>
      </c>
      <c r="E30" s="33" t="inlineStr">
        <is>
          <t>15.06.2026</t>
        </is>
      </c>
      <c r="F30" s="27" t="inlineStr">
        <is>
          <t>Neinceput</t>
        </is>
      </c>
      <c r="G30" s="33" t="inlineStr">
        <is>
          <t>Nu</t>
        </is>
      </c>
      <c r="H30" s="34" t="n"/>
    </row>
    <row r="31" ht="18" customHeight="1" s="50">
      <c r="A31" s="32" t="inlineStr">
        <is>
          <t>ACT-143</t>
        </is>
      </c>
      <c r="B31" s="26" t="inlineStr">
        <is>
          <t>WS11</t>
        </is>
      </c>
      <c r="C31" s="24" t="inlineStr">
        <is>
          <t>Definire pachete comerciale finale</t>
        </is>
      </c>
      <c r="D31" s="25" t="inlineStr">
        <is>
          <t>Stelian</t>
        </is>
      </c>
      <c r="E31" s="26" t="inlineStr">
        <is>
          <t>22.06.2026</t>
        </is>
      </c>
      <c r="F31" s="27" t="inlineStr">
        <is>
          <t>Neinceput</t>
        </is>
      </c>
      <c r="G31" s="26" t="inlineStr">
        <is>
          <t>Nu</t>
        </is>
      </c>
      <c r="H31" s="24" t="n"/>
    </row>
    <row r="32" ht="18" customHeight="1" s="50">
      <c r="A32" s="32" t="inlineStr">
        <is>
          <t>ACT-153</t>
        </is>
      </c>
      <c r="B32" s="33" t="inlineStr">
        <is>
          <t>WS12</t>
        </is>
      </c>
      <c r="C32" s="34" t="inlineStr">
        <is>
          <t>Primul dosar real procesat</t>
        </is>
      </c>
      <c r="D32" s="35" t="inlineStr">
        <is>
          <t>Stelian</t>
        </is>
      </c>
      <c r="E32" s="33" t="inlineStr">
        <is>
          <t>21.09.2026</t>
        </is>
      </c>
      <c r="F32" s="27" t="inlineStr">
        <is>
          <t>Neinceput</t>
        </is>
      </c>
      <c r="G32" s="33" t="inlineStr">
        <is>
          <t>Nu</t>
        </is>
      </c>
      <c r="H32" s="34" t="inlineStr">
        <is>
          <t>TARGET PRINCIPAL</t>
        </is>
      </c>
    </row>
  </sheetData>
  <autoFilter ref="A2:H32"/>
  <mergeCells count="1">
    <mergeCell ref="A1:H1"/>
  </mergeCells>
  <conditionalFormatting sqref="F3:F32">
    <cfRule type="cellIs" priority="1" operator="equal" dxfId="4">
      <formula>"Neinceput"</formula>
    </cfRule>
    <cfRule type="cellIs" priority="2" operator="equal" dxfId="3">
      <formula>"In lucru"</formula>
    </cfRule>
    <cfRule type="cellIs" priority="3" operator="equal" dxfId="2">
      <formula>"Finalizat"</formula>
    </cfRule>
    <cfRule type="cellIs" priority="4" operator="equal" dxfId="0">
      <formula>"Blocat"</formula>
    </cfRule>
  </conditionalFormatting>
  <conditionalFormatting sqref="G3:G32">
    <cfRule type="cellIs" priority="5" operator="equal" dxfId="0">
      <formula>"Da"</formula>
    </cfRule>
  </conditionalFormatting>
  <dataValidations count="2">
    <dataValidation sqref="F3:F32" showDropDown="0" showInputMessage="0" showErrorMessage="1" allowBlank="0" errorTitle="Status invalid" error="Alege: Neinceput, In lucru, Finalizat sau Blocat" type="list">
      <formula1>"Neinceput,In lucru,Finalizat,Blocat"</formula1>
    </dataValidation>
    <dataValidation sqref="G3:G32" showDropDown="0" showInputMessage="0" showErrorMessage="1" allowBlank="0" errorTitle="Valoare invalida" error="Alege: Da sau Nu" type="list">
      <formula1>"Nu,Da"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selection activeCell="A1" sqref="A1"/>
    </sheetView>
  </sheetViews>
  <sheetFormatPr baseColWidth="10" defaultColWidth="8.83203125" defaultRowHeight="15"/>
  <cols>
    <col width="8" customWidth="1" style="50" min="1" max="1"/>
    <col width="22" customWidth="1" style="50" min="2" max="2"/>
    <col width="36" customWidth="1" style="50" min="3" max="3"/>
    <col width="12" customWidth="1" style="50" min="4" max="8"/>
    <col width="18" customWidth="1" style="50" min="9" max="9"/>
    <col width="42" customWidth="1" style="50" min="10" max="10"/>
  </cols>
  <sheetData>
    <row r="1" ht="28" customHeight="1" s="50">
      <c r="A1" s="54" t="inlineStr">
        <is>
          <t>1ExitBiz.RO — Buget Servicii Externe</t>
        </is>
      </c>
    </row>
    <row r="2" ht="22" customHeight="1" s="50">
      <c r="A2" s="11" t="inlineStr">
        <is>
          <t>ID</t>
        </is>
      </c>
      <c r="B2" s="11" t="inlineStr">
        <is>
          <t>Categorie</t>
        </is>
      </c>
      <c r="C2" s="11" t="inlineStr">
        <is>
          <t>Serviciu</t>
        </is>
      </c>
      <c r="D2" s="11" t="inlineStr">
        <is>
          <t>Prioritate MVP</t>
        </is>
      </c>
      <c r="E2" s="11" t="inlineStr">
        <is>
          <t>Setup min RON</t>
        </is>
      </c>
      <c r="F2" s="11" t="inlineStr">
        <is>
          <t>Setup max RON</t>
        </is>
      </c>
      <c r="G2" s="11" t="inlineStr">
        <is>
          <t>Lunar min RON</t>
        </is>
      </c>
      <c r="H2" s="11" t="inlineStr">
        <is>
          <t>Lunar max RON</t>
        </is>
      </c>
      <c r="I2" s="11" t="inlineStr">
        <is>
          <t>Tip cost</t>
        </is>
      </c>
      <c r="J2" s="11" t="inlineStr">
        <is>
          <t>Observatii</t>
        </is>
      </c>
    </row>
    <row r="3" ht="22" customHeight="1" s="50">
      <c r="A3" s="36" t="inlineStr">
        <is>
          <t>EXT01</t>
        </is>
      </c>
      <c r="B3" s="25" t="inlineStr">
        <is>
          <t>Domeniu si DNS</t>
        </is>
      </c>
      <c r="C3" s="24" t="inlineStr">
        <is>
          <t>Domeniu 1exitbiz.ro + Cloudflare DNS/WAF</t>
        </is>
      </c>
      <c r="D3" s="32" t="inlineStr">
        <is>
          <t>P0</t>
        </is>
      </c>
      <c r="E3" s="37" t="n">
        <v>0</v>
      </c>
      <c r="F3" s="37" t="n">
        <v>200</v>
      </c>
      <c r="G3" s="38" t="n">
        <v>0</v>
      </c>
      <c r="H3" s="38" t="n">
        <v>100</v>
      </c>
      <c r="I3" s="25" t="inlineStr">
        <is>
          <t>Fix/optional</t>
        </is>
      </c>
      <c r="J3" s="24" t="inlineStr">
        <is>
          <t>Cloudflare gratuit initial; WAF dupa trafic</t>
        </is>
      </c>
    </row>
    <row r="4" ht="22" customHeight="1" s="50">
      <c r="A4" s="36" t="inlineStr">
        <is>
          <t>EXT02</t>
        </is>
      </c>
      <c r="B4" s="29" t="inlineStr">
        <is>
          <t>Hosting frontend</t>
        </is>
      </c>
      <c r="C4" s="28" t="inlineStr">
        <is>
          <t>Vercel / Cloudflare Pages</t>
        </is>
      </c>
      <c r="D4" s="32" t="inlineStr">
        <is>
          <t>P0</t>
        </is>
      </c>
      <c r="E4" s="37" t="n">
        <v>0</v>
      </c>
      <c r="F4" s="37" t="n">
        <v>0</v>
      </c>
      <c r="G4" s="38" t="n">
        <v>0</v>
      </c>
      <c r="H4" s="38" t="n">
        <v>100</v>
      </c>
      <c r="I4" s="29" t="inlineStr">
        <is>
          <t>Lunar</t>
        </is>
      </c>
      <c r="J4" s="28" t="inlineStr">
        <is>
          <t>Next.js/React, CI/CD rapid</t>
        </is>
      </c>
    </row>
    <row r="5" ht="22" customHeight="1" s="50">
      <c r="A5" s="36" t="inlineStr">
        <is>
          <t>EXT03</t>
        </is>
      </c>
      <c r="B5" s="25" t="inlineStr">
        <is>
          <t>Backend si DB</t>
        </is>
      </c>
      <c r="C5" s="24" t="inlineStr">
        <is>
          <t>Supabase Pro / PostgreSQL managed</t>
        </is>
      </c>
      <c r="D5" s="32" t="inlineStr">
        <is>
          <t>P0</t>
        </is>
      </c>
      <c r="E5" s="37" t="n">
        <v>0</v>
      </c>
      <c r="F5" s="37" t="n">
        <v>500</v>
      </c>
      <c r="G5" s="38" t="n">
        <v>125</v>
      </c>
      <c r="H5" s="38" t="n">
        <v>250</v>
      </c>
      <c r="I5" s="25" t="inlineStr">
        <is>
          <t>Lunar + setup</t>
        </is>
      </c>
      <c r="J5" s="24" t="inlineStr">
        <is>
          <t>Auth, DB, Row Level Security, Storage</t>
        </is>
      </c>
    </row>
    <row r="6" ht="22" customHeight="1" s="50">
      <c r="A6" s="36" t="inlineStr">
        <is>
          <t>EXT04</t>
        </is>
      </c>
      <c r="B6" s="29" t="inlineStr">
        <is>
          <t>Storage documente</t>
        </is>
      </c>
      <c r="C6" s="28" t="inlineStr">
        <is>
          <t>Cloudflare R2 / Supabase Storage</t>
        </is>
      </c>
      <c r="D6" s="32" t="inlineStr">
        <is>
          <t>P0</t>
        </is>
      </c>
      <c r="E6" s="37" t="n">
        <v>0</v>
      </c>
      <c r="F6" s="37" t="n">
        <v>300</v>
      </c>
      <c r="G6" s="38" t="n">
        <v>0</v>
      </c>
      <c r="H6" s="38" t="n">
        <v>100</v>
      </c>
      <c r="I6" s="29" t="inlineStr">
        <is>
          <t>Consum</t>
        </is>
      </c>
      <c r="J6" s="28" t="inlineStr">
        <is>
          <t>PDF/DOCX/imagini, retentie configurabila</t>
        </is>
      </c>
    </row>
    <row r="7" ht="22" customHeight="1" s="50">
      <c r="A7" s="36" t="inlineStr">
        <is>
          <t>EXT05</t>
        </is>
      </c>
      <c r="B7" s="25" t="inlineStr">
        <is>
          <t>API date firme</t>
        </is>
      </c>
      <c r="C7" s="24" t="inlineStr">
        <is>
          <t>FirmeAPI.ro</t>
        </is>
      </c>
      <c r="D7" s="32" t="inlineStr">
        <is>
          <t>P0</t>
        </is>
      </c>
      <c r="E7" s="37" t="n">
        <v>0</v>
      </c>
      <c r="F7" s="37" t="n">
        <v>300</v>
      </c>
      <c r="G7" s="38" t="n">
        <v>100</v>
      </c>
      <c r="H7" s="38" t="n">
        <v>500</v>
      </c>
      <c r="I7" s="25" t="inlineStr">
        <is>
          <t>Lunar</t>
        </is>
      </c>
      <c r="J7" s="24" t="inlineStr">
        <is>
          <t>Recomandat pentru CUI si date firma</t>
        </is>
      </c>
    </row>
    <row r="8" ht="22" customHeight="1" s="50">
      <c r="A8" s="36" t="inlineStr">
        <is>
          <t>EXT06</t>
        </is>
      </c>
      <c r="B8" s="29" t="inlineStr">
        <is>
          <t>Certificat constatator</t>
        </is>
      </c>
      <c r="C8" s="28" t="inlineStr">
        <is>
          <t>CertificatConstatator.ro / ONRC InfoCert</t>
        </is>
      </c>
      <c r="D8" s="39" t="inlineStr">
        <is>
          <t>P1</t>
        </is>
      </c>
      <c r="E8" s="37" t="n">
        <v>0</v>
      </c>
      <c r="F8" s="37" t="n">
        <v>0</v>
      </c>
      <c r="G8" s="38" t="n">
        <v>65</v>
      </c>
      <c r="H8" s="38" t="n">
        <v>400</v>
      </c>
      <c r="I8" s="29" t="inlineStr">
        <is>
          <t>Per document</t>
        </is>
      </c>
      <c r="J8" s="28" t="inlineStr">
        <is>
          <t>API dupa confirmare parteneriat; manual initial</t>
        </is>
      </c>
    </row>
    <row r="9" ht="22" customHeight="1" s="50">
      <c r="A9" s="36" t="inlineStr">
        <is>
          <t>EXT07</t>
        </is>
      </c>
      <c r="B9" s="25" t="inlineStr">
        <is>
          <t>Analytics</t>
        </is>
      </c>
      <c r="C9" s="24" t="inlineStr">
        <is>
          <t>PostHog + GA4</t>
        </is>
      </c>
      <c r="D9" s="39" t="inlineStr">
        <is>
          <t>P1</t>
        </is>
      </c>
      <c r="E9" s="37" t="n">
        <v>0</v>
      </c>
      <c r="F9" s="37" t="n">
        <v>300</v>
      </c>
      <c r="G9" s="38" t="n">
        <v>0</v>
      </c>
      <c r="H9" s="38" t="n">
        <v>100</v>
      </c>
      <c r="I9" s="25" t="inlineStr">
        <is>
          <t>Usage-based</t>
        </is>
      </c>
      <c r="J9" s="24" t="inlineStr">
        <is>
          <t>Funnels, evenimente, heatmaps GDPR</t>
        </is>
      </c>
    </row>
    <row r="10" ht="22" customHeight="1" s="50">
      <c r="A10" s="36" t="inlineStr">
        <is>
          <t>EXT08</t>
        </is>
      </c>
      <c r="B10" s="29" t="inlineStr">
        <is>
          <t>Email tranzactional</t>
        </is>
      </c>
      <c r="C10" s="28" t="inlineStr">
        <is>
          <t>Resend / SendGrid / Google Workspace</t>
        </is>
      </c>
      <c r="D10" s="39" t="inlineStr">
        <is>
          <t>P1</t>
        </is>
      </c>
      <c r="E10" s="37" t="n">
        <v>0</v>
      </c>
      <c r="F10" s="37" t="n">
        <v>300</v>
      </c>
      <c r="G10" s="38" t="n">
        <v>30</v>
      </c>
      <c r="H10" s="38" t="n">
        <v>150</v>
      </c>
      <c r="I10" s="29" t="inlineStr">
        <is>
          <t>Lunar</t>
        </is>
      </c>
      <c r="J10" s="28" t="inlineStr">
        <is>
          <t>Notificari status, documente, follow-up</t>
        </is>
      </c>
    </row>
    <row r="11" ht="22" customHeight="1" s="50">
      <c r="A11" s="36" t="inlineStr">
        <is>
          <t>EXT09</t>
        </is>
      </c>
      <c r="B11" s="25" t="inlineStr">
        <is>
          <t>WhatsApp/SMS</t>
        </is>
      </c>
      <c r="C11" s="24" t="inlineStr">
        <is>
          <t>WhatsApp Business API / SMS provider</t>
        </is>
      </c>
      <c r="D11" s="40" t="inlineStr">
        <is>
          <t>P2</t>
        </is>
      </c>
      <c r="E11" s="37" t="n">
        <v>0</v>
      </c>
      <c r="F11" s="37" t="n">
        <v>1000</v>
      </c>
      <c r="G11" s="38" t="n">
        <v>50</v>
      </c>
      <c r="H11" s="38" t="n">
        <v>300</v>
      </c>
      <c r="I11" s="25" t="inlineStr">
        <is>
          <t>Consum</t>
        </is>
      </c>
      <c r="J11" s="24" t="inlineStr">
        <is>
          <t>Dupa validare lead flow</t>
        </is>
      </c>
    </row>
    <row r="12" ht="22" customHeight="1" s="50">
      <c r="A12" s="36" t="inlineStr">
        <is>
          <t>EXT10</t>
        </is>
      </c>
      <c r="B12" s="29" t="inlineStr">
        <is>
          <t>Plati</t>
        </is>
      </c>
      <c r="C12" s="28" t="inlineStr">
        <is>
          <t>Netopia / Stripe / Revolut Business</t>
        </is>
      </c>
      <c r="D12" s="39" t="inlineStr">
        <is>
          <t>P1</t>
        </is>
      </c>
      <c r="E12" s="37" t="n">
        <v>0</v>
      </c>
      <c r="F12" s="37" t="n">
        <v>1000</v>
      </c>
      <c r="G12" s="38" t="n">
        <v>0</v>
      </c>
      <c r="H12" s="38" t="n">
        <v>200</v>
      </c>
      <c r="I12" s="29" t="inlineStr">
        <is>
          <t>Comision</t>
        </is>
      </c>
      <c r="J12" s="28" t="inlineStr">
        <is>
          <t>Analiza preliminara si avans procedura</t>
        </is>
      </c>
    </row>
    <row r="13" ht="22" customHeight="1" s="50">
      <c r="A13" s="36" t="inlineStr">
        <is>
          <t>EXT11</t>
        </is>
      </c>
      <c r="B13" s="25" t="inlineStr">
        <is>
          <t>Semnare electronica</t>
        </is>
      </c>
      <c r="C13" s="24" t="inlineStr">
        <is>
          <t>CertSign / DocuSign / Adobe Sign</t>
        </is>
      </c>
      <c r="D13" s="40" t="inlineStr">
        <is>
          <t>P2</t>
        </is>
      </c>
      <c r="E13" s="37" t="n">
        <v>0</v>
      </c>
      <c r="F13" s="37" t="n">
        <v>1000</v>
      </c>
      <c r="G13" s="38" t="n">
        <v>50</v>
      </c>
      <c r="H13" s="38" t="n">
        <v>500</v>
      </c>
      <c r="I13" s="25" t="inlineStr">
        <is>
          <t>Per doc/abonament</t>
        </is>
      </c>
      <c r="J13" s="24" t="inlineStr">
        <is>
          <t>Nu blocheaza MVP</t>
        </is>
      </c>
    </row>
    <row r="14" ht="22" customHeight="1" s="50">
      <c r="A14" s="36" t="inlineStr">
        <is>
          <t>EXT12</t>
        </is>
      </c>
      <c r="B14" s="29" t="inlineStr">
        <is>
          <t>Securitate si monitoring</t>
        </is>
      </c>
      <c r="C14" s="28" t="inlineStr">
        <is>
          <t>Sentry / UptimeRobot / Log mgmt</t>
        </is>
      </c>
      <c r="D14" s="39" t="inlineStr">
        <is>
          <t>P1</t>
        </is>
      </c>
      <c r="E14" s="37" t="n">
        <v>0</v>
      </c>
      <c r="F14" s="37" t="n">
        <v>300</v>
      </c>
      <c r="G14" s="38" t="n">
        <v>0</v>
      </c>
      <c r="H14" s="38" t="n">
        <v>200</v>
      </c>
      <c r="I14" s="29" t="inlineStr">
        <is>
          <t>Lunar</t>
        </is>
      </c>
      <c r="J14" s="28" t="inlineStr">
        <is>
          <t>Erori, uptime, incident response</t>
        </is>
      </c>
    </row>
    <row r="15" ht="22" customHeight="1" s="50">
      <c r="A15" s="36" t="inlineStr">
        <is>
          <t>EXT13</t>
        </is>
      </c>
      <c r="B15" s="25" t="inlineStr">
        <is>
          <t>Backups</t>
        </is>
      </c>
      <c r="C15" s="24" t="inlineStr">
        <is>
          <t>Backup automat DB + documente</t>
        </is>
      </c>
      <c r="D15" s="32" t="inlineStr">
        <is>
          <t>P0</t>
        </is>
      </c>
      <c r="E15" s="37" t="n">
        <v>300</v>
      </c>
      <c r="F15" s="37" t="n">
        <v>1000</v>
      </c>
      <c r="G15" s="38" t="n">
        <v>50</v>
      </c>
      <c r="H15" s="38" t="n">
        <v>200</v>
      </c>
      <c r="I15" s="25" t="inlineStr">
        <is>
          <t>Lunar</t>
        </is>
      </c>
      <c r="J15" s="24" t="inlineStr">
        <is>
          <t>Necesar pentru dosare si documente</t>
        </is>
      </c>
    </row>
    <row r="16" ht="22" customHeight="1" s="50">
      <c r="A16" s="36" t="inlineStr">
        <is>
          <t>EXT14</t>
        </is>
      </c>
      <c r="B16" s="29" t="inlineStr">
        <is>
          <t>Continut si SEO</t>
        </is>
      </c>
      <c r="C16" s="28" t="inlineStr">
        <is>
          <t>Copywriting, articole, schema FAQ</t>
        </is>
      </c>
      <c r="D16" s="39" t="inlineStr">
        <is>
          <t>P1</t>
        </is>
      </c>
      <c r="E16" s="37" t="n">
        <v>1000</v>
      </c>
      <c r="F16" s="37" t="n">
        <v>5000</v>
      </c>
      <c r="G16" s="38" t="n">
        <v>1000</v>
      </c>
      <c r="H16" s="38" t="n">
        <v>3000</v>
      </c>
      <c r="I16" s="29" t="inlineStr">
        <is>
          <t>Proiect/lunar</t>
        </is>
      </c>
      <c r="J16" s="28" t="inlineStr">
        <is>
          <t>Posibil intern cu AI + revizie</t>
        </is>
      </c>
    </row>
    <row r="17" ht="22" customHeight="1" s="50">
      <c r="A17" s="36" t="inlineStr">
        <is>
          <t>EXT15</t>
        </is>
      </c>
      <c r="B17" s="25" t="inlineStr">
        <is>
          <t>Consultanta juridica/contabila</t>
        </is>
      </c>
      <c r="C17" s="24" t="inlineStr">
        <is>
          <t>Avocat/contabil pentru validare fluxuri</t>
        </is>
      </c>
      <c r="D17" s="32" t="inlineStr">
        <is>
          <t>P0</t>
        </is>
      </c>
      <c r="E17" s="37" t="n">
        <v>1500</v>
      </c>
      <c r="F17" s="37" t="n">
        <v>6000</v>
      </c>
      <c r="G17" s="38" t="n">
        <v>500</v>
      </c>
      <c r="H17" s="38" t="n">
        <v>2000</v>
      </c>
      <c r="I17" s="25" t="inlineStr">
        <is>
          <t>Proiect/retainer</t>
        </is>
      </c>
      <c r="J17" s="24" t="inlineStr">
        <is>
          <t>Validare procedurala si disclaimere</t>
        </is>
      </c>
    </row>
    <row r="18" ht="24" customHeight="1" s="50">
      <c r="A18" s="55" t="inlineStr">
        <is>
          <t>TOTAL ESTIMAT</t>
        </is>
      </c>
      <c r="E18" s="41">
        <f>SUM(E3:E17)</f>
        <v/>
      </c>
      <c r="F18" s="41">
        <f>SUM(F3:F17)</f>
        <v/>
      </c>
      <c r="G18" s="41">
        <f>SUM(G3:G17)</f>
        <v/>
      </c>
      <c r="H18" s="41">
        <f>SUM(H3:H17)</f>
        <v/>
      </c>
      <c r="I18" s="42" t="n"/>
      <c r="J18" s="42" t="n"/>
    </row>
  </sheetData>
  <mergeCells count="2">
    <mergeCell ref="A1:J1"/>
    <mergeCell ref="A18:D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10" defaultColWidth="8.83203125" defaultRowHeight="15"/>
  <cols>
    <col width="8" customWidth="1" style="50" min="1" max="1"/>
    <col width="38" customWidth="1" style="50" min="2" max="2"/>
    <col width="14" customWidth="1" style="50" min="3" max="4"/>
    <col width="36" customWidth="1" style="50" min="5" max="5"/>
    <col width="42" customWidth="1" style="50" min="6" max="6"/>
    <col width="16" customWidth="1" style="50" min="7" max="7"/>
  </cols>
  <sheetData>
    <row r="1" ht="28" customHeight="1" s="50">
      <c r="A1" s="56" t="inlineStr">
        <is>
          <t>1ExitBiz.RO — Registru Riscuri MVP</t>
        </is>
      </c>
    </row>
    <row r="2" ht="22" customHeight="1" s="50">
      <c r="A2" s="43" t="inlineStr">
        <is>
          <t>ID</t>
        </is>
      </c>
      <c r="B2" s="43" t="inlineStr">
        <is>
          <t>Risc</t>
        </is>
      </c>
      <c r="C2" s="43" t="inlineStr">
        <is>
          <t>Probabilitate</t>
        </is>
      </c>
      <c r="D2" s="43" t="inlineStr">
        <is>
          <t>Impact</t>
        </is>
      </c>
      <c r="E2" s="43" t="inlineStr">
        <is>
          <t>Efect potential</t>
        </is>
      </c>
      <c r="F2" s="43" t="inlineStr">
        <is>
          <t>Mitigare</t>
        </is>
      </c>
      <c r="G2" s="43" t="inlineStr">
        <is>
          <t>Owner</t>
        </is>
      </c>
    </row>
    <row r="3" ht="28" customHeight="1" s="50">
      <c r="A3" s="44" t="inlineStr">
        <is>
          <t>R-001</t>
        </is>
      </c>
      <c r="B3" s="24" t="inlineStr">
        <is>
          <t>Scope prea mare pentru MVP</t>
        </is>
      </c>
      <c r="C3" s="45" t="inlineStr">
        <is>
          <t>Ridicat</t>
        </is>
      </c>
      <c r="D3" s="46" t="inlineStr">
        <is>
          <t>Mare</t>
        </is>
      </c>
      <c r="E3" s="24" t="inlineStr">
        <is>
          <t>Se blocheaza lansarea</t>
        </is>
      </c>
      <c r="F3" s="24" t="inlineStr">
        <is>
          <t>Regula: orice functie trebuie sa ajute finalizarea dosarului</t>
        </is>
      </c>
      <c r="G3" s="26" t="inlineStr">
        <is>
          <t>Stelian</t>
        </is>
      </c>
    </row>
    <row r="4" ht="28" customHeight="1" s="50">
      <c r="A4" s="44" t="inlineStr">
        <is>
          <t>R-002</t>
        </is>
      </c>
      <c r="B4" s="28" t="inlineStr">
        <is>
          <t>API certificat constatator indisponibil</t>
        </is>
      </c>
      <c r="C4" s="47" t="inlineStr">
        <is>
          <t>Mediu</t>
        </is>
      </c>
      <c r="D4" s="47" t="inlineStr">
        <is>
          <t>Mediu</t>
        </is>
      </c>
      <c r="E4" s="28" t="inlineStr">
        <is>
          <t>Nu se poate automatiza obtinerea certificatului</t>
        </is>
      </c>
      <c r="F4" s="28" t="inlineStr">
        <is>
          <t>Workflow manual/semiautomat si parteneriat ulterior</t>
        </is>
      </c>
      <c r="G4" s="30" t="inlineStr">
        <is>
          <t>Mihai/Stelian</t>
        </is>
      </c>
    </row>
    <row r="5" ht="28" customHeight="1" s="50">
      <c r="A5" s="44" t="inlineStr">
        <is>
          <t>R-003</t>
        </is>
      </c>
      <c r="B5" s="24" t="inlineStr">
        <is>
          <t>Date API considerate oficiale fara validare</t>
        </is>
      </c>
      <c r="C5" s="47" t="inlineStr">
        <is>
          <t>Mediu</t>
        </is>
      </c>
      <c r="D5" s="46" t="inlineStr">
        <is>
          <t>Mare</t>
        </is>
      </c>
      <c r="E5" s="24" t="inlineStr">
        <is>
          <t>Decizii gresite in dosar</t>
        </is>
      </c>
      <c r="F5" s="24" t="inlineStr">
        <is>
          <t>Marcaj informativ + validare operator/contabil</t>
        </is>
      </c>
      <c r="G5" s="26" t="inlineStr">
        <is>
          <t>Stelian</t>
        </is>
      </c>
    </row>
    <row r="6" ht="28" customHeight="1" s="50">
      <c r="A6" s="44" t="inlineStr">
        <is>
          <t>R-004</t>
        </is>
      </c>
      <c r="B6" s="28" t="inlineStr">
        <is>
          <t>Client incarca documente incomplete</t>
        </is>
      </c>
      <c r="C6" s="45" t="inlineStr">
        <is>
          <t>Ridicat</t>
        </is>
      </c>
      <c r="D6" s="47" t="inlineStr">
        <is>
          <t>Mediu</t>
        </is>
      </c>
      <c r="E6" s="28" t="inlineStr">
        <is>
          <t>Intarzieri si blocaje</t>
        </is>
      </c>
      <c r="F6" s="28" t="inlineStr">
        <is>
          <t>Checklist, reminders, status documente lipsa</t>
        </is>
      </c>
      <c r="G6" s="30" t="inlineStr">
        <is>
          <t>Mihai</t>
        </is>
      </c>
    </row>
    <row r="7" ht="28" customHeight="1" s="50">
      <c r="A7" s="44" t="inlineStr">
        <is>
          <t>R-005</t>
        </is>
      </c>
      <c r="B7" s="24" t="inlineStr">
        <is>
          <t>Contabilul nu raspunde</t>
        </is>
      </c>
      <c r="C7" s="45" t="inlineStr">
        <is>
          <t>Ridicat</t>
        </is>
      </c>
      <c r="D7" s="47" t="inlineStr">
        <is>
          <t>Mediu</t>
        </is>
      </c>
      <c r="E7" s="24" t="inlineStr">
        <is>
          <t>Blocaj dosar</t>
        </is>
      </c>
      <c r="F7" s="24" t="inlineStr">
        <is>
          <t>SLA, reminders, escaladare, status vizibil</t>
        </is>
      </c>
      <c r="G7" s="26" t="inlineStr">
        <is>
          <t>Stelian</t>
        </is>
      </c>
    </row>
    <row r="8" ht="28" customHeight="1" s="50">
      <c r="A8" s="44" t="inlineStr">
        <is>
          <t>R-006</t>
        </is>
      </c>
      <c r="B8" s="28" t="inlineStr">
        <is>
          <t>Permisiuni gresite pe dosar</t>
        </is>
      </c>
      <c r="C8" s="48" t="inlineStr">
        <is>
          <t>Scazut</t>
        </is>
      </c>
      <c r="D8" s="45" t="inlineStr">
        <is>
          <t>Foarte mare</t>
        </is>
      </c>
      <c r="E8" s="28" t="inlineStr">
        <is>
          <t>Risc GDPR/confidentialitate</t>
        </is>
      </c>
      <c r="F8" s="28" t="inlineStr">
        <is>
          <t>RBAC testat + audit trail</t>
        </is>
      </c>
      <c r="G8" s="30" t="inlineStr">
        <is>
          <t>Mihai</t>
        </is>
      </c>
    </row>
    <row r="9" ht="28" customHeight="1" s="50">
      <c r="A9" s="44" t="inlineStr">
        <is>
          <t>R-007</t>
        </is>
      </c>
      <c r="B9" s="24" t="inlineStr">
        <is>
          <t>Promisiuni comerciale prea ferme</t>
        </is>
      </c>
      <c r="C9" s="47" t="inlineStr">
        <is>
          <t>Mediu</t>
        </is>
      </c>
      <c r="D9" s="46" t="inlineStr">
        <is>
          <t>Mare</t>
        </is>
      </c>
      <c r="E9" s="24" t="inlineStr">
        <is>
          <t>Risc reputational/juridic</t>
        </is>
      </c>
      <c r="F9" s="24" t="inlineStr">
        <is>
          <t>Copy corect: estimari, nu garantii</t>
        </is>
      </c>
      <c r="G9" s="26" t="inlineStr">
        <is>
          <t>Stelian</t>
        </is>
      </c>
    </row>
    <row r="10" ht="28" customHeight="1" s="50">
      <c r="A10" s="44" t="inlineStr">
        <is>
          <t>R-008</t>
        </is>
      </c>
      <c r="B10" s="28" t="inlineStr">
        <is>
          <t>Costuri API cresc peste marja</t>
        </is>
      </c>
      <c r="C10" s="47" t="inlineStr">
        <is>
          <t>Mediu</t>
        </is>
      </c>
      <c r="D10" s="47" t="inlineStr">
        <is>
          <t>Mediu</t>
        </is>
      </c>
      <c r="E10" s="28" t="inlineStr">
        <is>
          <t>Profitabilitate scazuta</t>
        </is>
      </c>
      <c r="F10" s="28" t="inlineStr">
        <is>
          <t>Cache, limite consum, pret pe pachet</t>
        </is>
      </c>
      <c r="G10" s="30" t="inlineStr">
        <is>
          <t>Mihai</t>
        </is>
      </c>
    </row>
    <row r="11" ht="28" customHeight="1" s="50">
      <c r="A11" s="44" t="inlineStr">
        <is>
          <t>R-009</t>
        </is>
      </c>
      <c r="B11" s="24" t="inlineStr">
        <is>
          <t>Lichidatori insuficienti in retea</t>
        </is>
      </c>
      <c r="C11" s="47" t="inlineStr">
        <is>
          <t>Mediu</t>
        </is>
      </c>
      <c r="D11" s="46" t="inlineStr">
        <is>
          <t>Mare</t>
        </is>
      </c>
      <c r="E11" s="24" t="inlineStr">
        <is>
          <t>Nu se pot executa dosarele complexe</t>
        </is>
      </c>
      <c r="F11" s="24" t="inlineStr">
        <is>
          <t>Retea parteneri si pachet distinct</t>
        </is>
      </c>
      <c r="G11" s="26" t="inlineStr">
        <is>
          <t>Stelian</t>
        </is>
      </c>
    </row>
    <row r="12" ht="28" customHeight="1" s="50">
      <c r="A12" s="44" t="inlineStr">
        <is>
          <t>R-010</t>
        </is>
      </c>
      <c r="B12" s="28" t="inlineStr">
        <is>
          <t>AI genereaza mesaj juridic incorect</t>
        </is>
      </c>
      <c r="C12" s="47" t="inlineStr">
        <is>
          <t>Mediu</t>
        </is>
      </c>
      <c r="D12" s="46" t="inlineStr">
        <is>
          <t>Mare</t>
        </is>
      </c>
      <c r="E12" s="28" t="inlineStr">
        <is>
          <t>Risc calitate/reputational</t>
        </is>
      </c>
      <c r="F12" s="28" t="inlineStr">
        <is>
          <t>AI doar draft, operator valideaza obligatoriu</t>
        </is>
      </c>
      <c r="G12" s="30" t="inlineStr">
        <is>
          <t>Stelian/Mihai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2026-06-03T16:11:58Z</dcterms:created>
  <dcterms:modified xsi:type="dcterms:W3CDTF">2026-06-10T08:54:16Z</dcterms:modified>
  <cp:lastModifiedBy>mihail duca</cp:lastModifiedBy>
</cp:coreProperties>
</file>